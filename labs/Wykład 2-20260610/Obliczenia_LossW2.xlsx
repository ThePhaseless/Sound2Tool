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gwpl-my.sharepoint.com/personal/p489000_sggw_edu_pl/Documents/Pulpit/DeepLearning2025/Wykład2/"/>
    </mc:Choice>
  </mc:AlternateContent>
  <xr:revisionPtr revIDLastSave="8" documentId="8_{7BADFCB9-0121-4A4E-9C1B-AB1E961DEF37}" xr6:coauthVersionLast="47" xr6:coauthVersionMax="47" xr10:uidLastSave="{DC6CF94B-A4A3-4089-B1DE-9F08400B1789}"/>
  <bookViews>
    <workbookView xWindow="-110" yWindow="-110" windowWidth="19420" windowHeight="11500" activeTab="1" xr2:uid="{437D5E99-A3DC-4E26-97CB-0E106AF13B3E}"/>
  </bookViews>
  <sheets>
    <sheet name="CrossEntropy" sheetId="1" r:id="rId1"/>
    <sheet name="B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B3" i="2"/>
  <c r="F3" i="2" s="1"/>
  <c r="B4" i="2"/>
  <c r="F4" i="2" s="1"/>
  <c r="B5" i="2"/>
  <c r="F5" i="2" s="1"/>
  <c r="B2" i="2"/>
  <c r="F2" i="2" s="1"/>
  <c r="D3" i="2"/>
  <c r="D4" i="2"/>
  <c r="D5" i="2"/>
  <c r="D2" i="2"/>
  <c r="D6" i="2" s="1"/>
  <c r="A7" i="1"/>
  <c r="K7" i="1" s="1"/>
  <c r="P7" i="1" s="1"/>
  <c r="Q7" i="1" s="1"/>
  <c r="B7" i="1"/>
  <c r="L7" i="1" s="1"/>
  <c r="K4" i="1"/>
  <c r="F3" i="1"/>
  <c r="G3" i="1"/>
  <c r="H3" i="1"/>
  <c r="I3" i="1"/>
  <c r="J3" i="1"/>
  <c r="F4" i="1"/>
  <c r="G4" i="1"/>
  <c r="H4" i="1"/>
  <c r="C7" i="1" s="1"/>
  <c r="M7" i="1" s="1"/>
  <c r="I4" i="1"/>
  <c r="D7" i="1" s="1"/>
  <c r="N7" i="1" s="1"/>
  <c r="J4" i="1"/>
  <c r="E7" i="1" s="1"/>
  <c r="O7" i="1" s="1"/>
  <c r="G2" i="1"/>
  <c r="B5" i="1" s="1"/>
  <c r="L5" i="1" s="1"/>
  <c r="H2" i="1"/>
  <c r="C5" i="1" s="1"/>
  <c r="M5" i="1" s="1"/>
  <c r="I2" i="1"/>
  <c r="J2" i="1"/>
  <c r="F2" i="1"/>
  <c r="K2" i="1" s="1"/>
  <c r="F6" i="2" l="1"/>
  <c r="E7" i="2" s="1"/>
  <c r="D6" i="1"/>
  <c r="N6" i="1" s="1"/>
  <c r="E5" i="1"/>
  <c r="O5" i="1" s="1"/>
  <c r="D5" i="1"/>
  <c r="N5" i="1" s="1"/>
  <c r="A5" i="1"/>
  <c r="K5" i="1" s="1"/>
  <c r="P5" i="1" s="1"/>
  <c r="Q5" i="1" s="1"/>
  <c r="K3" i="1"/>
  <c r="E6" i="1" s="1"/>
  <c r="O6" i="1" s="1"/>
  <c r="A6" i="1" l="1"/>
  <c r="K6" i="1" s="1"/>
  <c r="B6" i="1"/>
  <c r="L6" i="1" s="1"/>
  <c r="C6" i="1"/>
  <c r="M6" i="1" s="1"/>
  <c r="P6" i="1" l="1"/>
  <c r="Q6" i="1" s="1"/>
  <c r="Q8" i="1" s="1"/>
</calcChain>
</file>

<file path=xl/sharedStrings.xml><?xml version="1.0" encoding="utf-8"?>
<sst xmlns="http://schemas.openxmlformats.org/spreadsheetml/2006/main" count="12" uniqueCount="11">
  <si>
    <t>Tensor-input jest logitem</t>
  </si>
  <si>
    <t>suma</t>
  </si>
  <si>
    <t>Loss</t>
  </si>
  <si>
    <t>Prawdopodobieństwa liczone przez Softmax</t>
  </si>
  <si>
    <t>Etykiety klas</t>
  </si>
  <si>
    <t>p</t>
  </si>
  <si>
    <t>1-p</t>
  </si>
  <si>
    <t>y</t>
  </si>
  <si>
    <t>ln(p)</t>
  </si>
  <si>
    <t>1-y</t>
  </si>
  <si>
    <t>ln(1-p)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</si>
</sst>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7</xdr:row>
      <xdr:rowOff>19050</xdr:rowOff>
    </xdr:from>
    <xdr:to>
      <xdr:col>3</xdr:col>
      <xdr:colOff>342900</xdr:colOff>
      <xdr:row>8</xdr:row>
      <xdr:rowOff>165100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C009C3E2-826A-4086-A24A-027D952CD92B}"/>
            </a:ext>
          </a:extLst>
        </xdr:cNvPr>
        <xdr:cNvCxnSpPr/>
      </xdr:nvCxnSpPr>
      <xdr:spPr>
        <a:xfrm flipV="1">
          <a:off x="914400" y="1308100"/>
          <a:ext cx="12573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546100</xdr:colOff>
      <xdr:row>7</xdr:row>
      <xdr:rowOff>114300</xdr:rowOff>
    </xdr:from>
    <xdr:to>
      <xdr:col>7</xdr:col>
      <xdr:colOff>342900</xdr:colOff>
      <xdr:row>9</xdr:row>
      <xdr:rowOff>165100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420BB631-FF0B-4774-9A55-80D007B94AF8}"/>
            </a:ext>
          </a:extLst>
        </xdr:cNvPr>
        <xdr:cNvCxnSpPr/>
      </xdr:nvCxnSpPr>
      <xdr:spPr>
        <a:xfrm flipH="1" flipV="1">
          <a:off x="4203700" y="1403350"/>
          <a:ext cx="40640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11</xdr:row>
      <xdr:rowOff>107950</xdr:rowOff>
    </xdr:from>
    <xdr:to>
      <xdr:col>10</xdr:col>
      <xdr:colOff>134370</xdr:colOff>
      <xdr:row>27</xdr:row>
      <xdr:rowOff>165712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50C8EBEB-48DA-4303-9E51-E6AA01AD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600"/>
          <a:ext cx="6230370" cy="3004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101600</xdr:colOff>
      <xdr:row>1</xdr:row>
      <xdr:rowOff>0</xdr:rowOff>
    </xdr:from>
    <xdr:to>
      <xdr:col>14</xdr:col>
      <xdr:colOff>62252</xdr:colOff>
      <xdr:row>13</xdr:row>
      <xdr:rowOff>53540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CE28B0C-0758-4E7A-B397-D88F7C29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0"/>
          <a:ext cx="4227852" cy="2263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152401</xdr:rowOff>
    </xdr:from>
    <xdr:to>
      <xdr:col>6</xdr:col>
      <xdr:colOff>48807</xdr:colOff>
      <xdr:row>17</xdr:row>
      <xdr:rowOff>53537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E3F41C5-BE18-4726-852C-AA31D7AB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501"/>
          <a:ext cx="3706407" cy="453586"/>
        </a:xfrm>
        <a:prstGeom prst="rect">
          <a:avLst/>
        </a:prstGeom>
      </xdr:spPr>
    </xdr:pic>
    <xdr:clientData/>
  </xdr:twoCellAnchor>
  <xdr:twoCellAnchor>
    <xdr:from>
      <xdr:col>4</xdr:col>
      <xdr:colOff>603250</xdr:colOff>
      <xdr:row>6</xdr:row>
      <xdr:rowOff>165100</xdr:rowOff>
    </xdr:from>
    <xdr:to>
      <xdr:col>8</xdr:col>
      <xdr:colOff>0</xdr:colOff>
      <xdr:row>12</xdr:row>
      <xdr:rowOff>31750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1D8DB5F3-D42B-4F71-ACCB-957FF1A2A54E}"/>
            </a:ext>
          </a:extLst>
        </xdr:cNvPr>
        <xdr:cNvCxnSpPr/>
      </xdr:nvCxnSpPr>
      <xdr:spPr>
        <a:xfrm>
          <a:off x="3041650" y="1270000"/>
          <a:ext cx="183515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47BC-7ED9-45C9-8289-F975DE5954B4}">
  <dimension ref="A1:Q11"/>
  <sheetViews>
    <sheetView workbookViewId="0">
      <selection activeCell="M15" sqref="M15"/>
    </sheetView>
  </sheetViews>
  <sheetFormatPr defaultRowHeight="14.5"/>
  <sheetData>
    <row r="1" spans="1:17">
      <c r="A1" t="s">
        <v>0</v>
      </c>
      <c r="F1" s="7">
        <v>0</v>
      </c>
      <c r="G1" s="7">
        <v>1</v>
      </c>
      <c r="H1" s="7">
        <v>2</v>
      </c>
      <c r="I1" s="7">
        <v>3</v>
      </c>
      <c r="J1" s="7">
        <v>4</v>
      </c>
      <c r="K1" t="s">
        <v>1</v>
      </c>
    </row>
    <row r="2" spans="1:17">
      <c r="A2" s="3">
        <v>-0.2737</v>
      </c>
      <c r="B2" s="4">
        <v>1.8452999999999999</v>
      </c>
      <c r="C2" s="4">
        <v>0.27950000000000003</v>
      </c>
      <c r="D2" s="4">
        <v>0.60289999999999999</v>
      </c>
      <c r="E2" s="4">
        <v>0.70540000000000003</v>
      </c>
      <c r="F2">
        <f>EXP(A2)</f>
        <v>0.76056020910182542</v>
      </c>
      <c r="G2">
        <f t="shared" ref="G2:J2" si="0">EXP(B2)</f>
        <v>6.329998505132159</v>
      </c>
      <c r="H2">
        <f t="shared" si="0"/>
        <v>1.3224684127949331</v>
      </c>
      <c r="I2">
        <f t="shared" si="0"/>
        <v>1.8274106143331792</v>
      </c>
      <c r="J2">
        <f t="shared" si="0"/>
        <v>2.0246563855256414</v>
      </c>
      <c r="K2" s="5">
        <f>SUM(F2:J2)</f>
        <v>12.265094126887739</v>
      </c>
    </row>
    <row r="3" spans="1:17">
      <c r="A3" s="3">
        <v>0.38469999999999999</v>
      </c>
      <c r="B3" s="4">
        <v>-1.84E-2</v>
      </c>
      <c r="C3" s="4">
        <v>-0.66120000000000001</v>
      </c>
      <c r="D3" s="4">
        <v>0.40960000000000002</v>
      </c>
      <c r="E3" s="4">
        <v>-0.61860000000000004</v>
      </c>
      <c r="F3">
        <f t="shared" ref="F3:F4" si="1">EXP(A3)</f>
        <v>1.4691735032707436</v>
      </c>
      <c r="G3">
        <f t="shared" ref="G3:G4" si="2">EXP(B3)</f>
        <v>0.98176824650776462</v>
      </c>
      <c r="H3">
        <f t="shared" ref="H3:H4" si="3">EXP(C3)</f>
        <v>0.51623148487446147</v>
      </c>
      <c r="I3">
        <f t="shared" ref="I3:I4" si="4">EXP(D3)</f>
        <v>1.5062151785281601</v>
      </c>
      <c r="J3">
        <f t="shared" ref="J3:J4" si="5">EXP(E3)</f>
        <v>0.53869808723896195</v>
      </c>
      <c r="K3" s="5">
        <f t="shared" ref="K3:K4" si="6">SUM(F3:J3)</f>
        <v>5.0120865004200912</v>
      </c>
    </row>
    <row r="4" spans="1:17">
      <c r="A4" s="3">
        <v>-0.57509999999999994</v>
      </c>
      <c r="B4" s="4">
        <v>-0.24060000000000001</v>
      </c>
      <c r="C4" s="4">
        <v>0.2495</v>
      </c>
      <c r="D4" s="4">
        <v>-0.27960000000000002</v>
      </c>
      <c r="E4" s="4">
        <v>0.44629999999999997</v>
      </c>
      <c r="F4">
        <f t="shared" si="1"/>
        <v>0.56264860113350557</v>
      </c>
      <c r="G4">
        <f t="shared" si="2"/>
        <v>0.78615602591461409</v>
      </c>
      <c r="H4">
        <f t="shared" si="3"/>
        <v>1.2833835644558276</v>
      </c>
      <c r="I4">
        <f t="shared" si="4"/>
        <v>0.75608611542306958</v>
      </c>
      <c r="J4">
        <f t="shared" si="5"/>
        <v>1.5625201522730499</v>
      </c>
      <c r="K4" s="5">
        <f t="shared" si="6"/>
        <v>4.9507944592000666</v>
      </c>
    </row>
    <row r="5" spans="1:17">
      <c r="A5" s="2">
        <f>F2/$K2</f>
        <v>6.2010140422364385E-2</v>
      </c>
      <c r="B5" s="2">
        <f t="shared" ref="B5:E5" si="7">G2/$K2</f>
        <v>0.51609864870547006</v>
      </c>
      <c r="C5" s="2">
        <f t="shared" si="7"/>
        <v>0.10782374754840213</v>
      </c>
      <c r="D5" s="2">
        <f t="shared" si="7"/>
        <v>0.14899279169224636</v>
      </c>
      <c r="E5" s="2">
        <f t="shared" si="7"/>
        <v>0.16507467163151701</v>
      </c>
      <c r="F5" s="6"/>
      <c r="G5" s="6">
        <v>1</v>
      </c>
      <c r="H5" s="6"/>
      <c r="I5" s="6"/>
      <c r="J5" s="6"/>
      <c r="K5">
        <f>F5*LN(A5)</f>
        <v>0</v>
      </c>
      <c r="L5">
        <f t="shared" ref="L5:O5" si="8">G5*LN(B5)</f>
        <v>-0.66145735211131329</v>
      </c>
      <c r="M5">
        <f t="shared" si="8"/>
        <v>0</v>
      </c>
      <c r="N5">
        <f t="shared" si="8"/>
        <v>0</v>
      </c>
      <c r="O5">
        <f t="shared" si="8"/>
        <v>0</v>
      </c>
      <c r="P5">
        <f>SUM(K5:O5)</f>
        <v>-0.66145735211131329</v>
      </c>
      <c r="Q5">
        <f>-P5</f>
        <v>0.66145735211131329</v>
      </c>
    </row>
    <row r="6" spans="1:17">
      <c r="A6" s="2">
        <f t="shared" ref="A6:A7" si="9">F3/$K3</f>
        <v>0.29312612684310296</v>
      </c>
      <c r="B6" s="2">
        <f t="shared" ref="B6:B7" si="10">G3/$K3</f>
        <v>0.19588014820284469</v>
      </c>
      <c r="C6" s="2">
        <f t="shared" ref="C6:C7" si="11">H3/$K3</f>
        <v>0.10299732154087787</v>
      </c>
      <c r="D6" s="2">
        <f t="shared" ref="D6:D7" si="12">I3/$K3</f>
        <v>0.30051659691067101</v>
      </c>
      <c r="E6" s="2">
        <f t="shared" ref="E6:E7" si="13">J3/$K3</f>
        <v>0.10747980650250362</v>
      </c>
      <c r="F6" s="6">
        <v>1</v>
      </c>
      <c r="G6" s="6"/>
      <c r="H6" s="6"/>
      <c r="I6" s="6"/>
      <c r="J6" s="6"/>
      <c r="K6">
        <f t="shared" ref="K6:K7" si="14">F6*LN(A6)</f>
        <v>-1.2271522955481193</v>
      </c>
      <c r="L6">
        <f t="shared" ref="L6:L7" si="15">G6*LN(B6)</f>
        <v>0</v>
      </c>
      <c r="M6">
        <f t="shared" ref="M6:M7" si="16">H6*LN(C6)</f>
        <v>0</v>
      </c>
      <c r="N6">
        <f t="shared" ref="N6:N7" si="17">I6*LN(D6)</f>
        <v>0</v>
      </c>
      <c r="O6">
        <f t="shared" ref="O6:O7" si="18">J6*LN(E6)</f>
        <v>0</v>
      </c>
      <c r="P6">
        <f t="shared" ref="P6:P7" si="19">SUM(K6:O6)</f>
        <v>-1.2271522955481193</v>
      </c>
      <c r="Q6">
        <f t="shared" ref="Q6:Q7" si="20">-P6</f>
        <v>1.2271522955481193</v>
      </c>
    </row>
    <row r="7" spans="1:17">
      <c r="A7" s="2">
        <f t="shared" si="9"/>
        <v>0.11364814390303259</v>
      </c>
      <c r="B7" s="2">
        <f t="shared" si="10"/>
        <v>0.15879391325844674</v>
      </c>
      <c r="C7" s="2">
        <f t="shared" si="11"/>
        <v>0.25922780172602694</v>
      </c>
      <c r="D7" s="2">
        <f t="shared" si="12"/>
        <v>0.15272015868443781</v>
      </c>
      <c r="E7" s="2">
        <f t="shared" si="13"/>
        <v>0.31560998242805599</v>
      </c>
      <c r="F7" s="6"/>
      <c r="G7" s="6"/>
      <c r="H7" s="6"/>
      <c r="I7" s="6">
        <v>1</v>
      </c>
      <c r="J7" s="6"/>
      <c r="K7">
        <f t="shared" si="14"/>
        <v>0</v>
      </c>
      <c r="L7">
        <f t="shared" si="15"/>
        <v>0</v>
      </c>
      <c r="M7">
        <f t="shared" si="16"/>
        <v>0</v>
      </c>
      <c r="N7">
        <f t="shared" si="17"/>
        <v>-1.8791480605104585</v>
      </c>
      <c r="O7">
        <f t="shared" si="18"/>
        <v>0</v>
      </c>
      <c r="P7">
        <f t="shared" si="19"/>
        <v>-1.8791480605104585</v>
      </c>
      <c r="Q7">
        <f t="shared" si="20"/>
        <v>1.8791480605104585</v>
      </c>
    </row>
    <row r="8" spans="1:17">
      <c r="P8" t="s">
        <v>2</v>
      </c>
      <c r="Q8" s="5">
        <f>SUM(Q5:Q7)/3</f>
        <v>1.2559192360566305</v>
      </c>
    </row>
    <row r="10" spans="1:17">
      <c r="A10" t="s">
        <v>3</v>
      </c>
    </row>
    <row r="11" spans="1:17">
      <c r="H1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B8FD-424A-47AD-8D22-1669BDD35BE2}">
  <dimension ref="A1:F8"/>
  <sheetViews>
    <sheetView tabSelected="1" workbookViewId="0">
      <selection activeCell="E12" sqref="E12"/>
    </sheetView>
  </sheetViews>
  <sheetFormatPr defaultRowHeight="14.5"/>
  <sheetData>
    <row r="1" spans="1:6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</row>
    <row r="2" spans="1:6">
      <c r="A2" s="1">
        <v>0.61570000000000003</v>
      </c>
      <c r="B2" s="1">
        <f>1-A2</f>
        <v>0.38429999999999997</v>
      </c>
      <c r="C2" s="2">
        <v>1</v>
      </c>
      <c r="D2" s="2">
        <f>LN(A2)</f>
        <v>-0.48499544706497255</v>
      </c>
      <c r="E2" s="2">
        <f>1-C2</f>
        <v>0</v>
      </c>
      <c r="F2" s="2">
        <f>LN(B2)</f>
        <v>-0.9563317814113389</v>
      </c>
    </row>
    <row r="3" spans="1:6">
      <c r="A3" s="1">
        <v>0.39229999999999998</v>
      </c>
      <c r="B3" s="1">
        <f t="shared" ref="B3:B5" si="0">1-A3</f>
        <v>0.60770000000000002</v>
      </c>
      <c r="C3" s="2">
        <v>0</v>
      </c>
      <c r="D3" s="2">
        <f t="shared" ref="D3:D5" si="1">LN(A3)</f>
        <v>-0.93572842576663018</v>
      </c>
      <c r="E3" s="2">
        <f t="shared" ref="E3:E5" si="2">1-C3</f>
        <v>1</v>
      </c>
      <c r="F3" s="2">
        <f t="shared" ref="F3:F5" si="3">LN(B3)</f>
        <v>-0.49807393984082748</v>
      </c>
    </row>
    <row r="4" spans="1:6">
      <c r="A4" s="1">
        <v>0.35859999999999997</v>
      </c>
      <c r="B4" s="1">
        <f t="shared" si="0"/>
        <v>0.64139999999999997</v>
      </c>
      <c r="C4" s="2">
        <v>1</v>
      </c>
      <c r="D4" s="2">
        <f t="shared" si="1"/>
        <v>-1.0255477178111045</v>
      </c>
      <c r="E4" s="2">
        <f t="shared" si="2"/>
        <v>0</v>
      </c>
      <c r="F4" s="2">
        <f t="shared" si="3"/>
        <v>-0.44410199172308257</v>
      </c>
    </row>
    <row r="5" spans="1:6">
      <c r="A5" s="1">
        <v>0.90390000000000004</v>
      </c>
      <c r="B5" s="1">
        <f t="shared" si="0"/>
        <v>9.6099999999999963E-2</v>
      </c>
      <c r="C5" s="2">
        <v>0</v>
      </c>
      <c r="D5" s="2">
        <f t="shared" si="1"/>
        <v>-0.10103654417777178</v>
      </c>
      <c r="E5" s="2">
        <f t="shared" si="2"/>
        <v>1</v>
      </c>
      <c r="F5" s="2">
        <f t="shared" si="3"/>
        <v>-2.3423659630058906</v>
      </c>
    </row>
    <row r="6" spans="1:6">
      <c r="D6" s="5">
        <f>SUMPRODUCT(C2:C5,D2:D5)</f>
        <v>-1.510543164876077</v>
      </c>
      <c r="F6" s="5">
        <f>SUMPRODUCT(E2:E5,F2:F5)</f>
        <v>-2.8404399028467182</v>
      </c>
    </row>
    <row r="7" spans="1:6">
      <c r="D7" s="9" t="s">
        <v>2</v>
      </c>
      <c r="E7">
        <f>-(D6+F6)/4</f>
        <v>1.0877457669306989</v>
      </c>
    </row>
    <row r="8" spans="1:6">
      <c r="D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CrossEntropy</vt:lpstr>
      <vt:lpstr>BCE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Urszula Grzybowska</dc:creator>
  <cp:keywords/>
  <dc:description/>
  <cp:lastModifiedBy>Urszula Grzybowska</cp:lastModifiedBy>
  <cp:revision/>
  <dcterms:created xsi:type="dcterms:W3CDTF">2025-03-02T15:04:55Z</dcterms:created>
  <dcterms:modified xsi:type="dcterms:W3CDTF">2025-03-04T17:04:33Z</dcterms:modified>
  <cp:category/>
  <cp:contentStatus/>
</cp:coreProperties>
</file>