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489000\Desktop\"/>
    </mc:Choice>
  </mc:AlternateContent>
  <xr:revisionPtr revIDLastSave="0" documentId="8_{10B260D6-FDB0-414D-9FE6-13BE135AD150}" xr6:coauthVersionLast="47" xr6:coauthVersionMax="47" xr10:uidLastSave="{00000000-0000-0000-0000-000000000000}"/>
  <bookViews>
    <workbookView xWindow="-120" yWindow="-120" windowWidth="29040" windowHeight="15720" xr2:uid="{442C5EE8-CF64-458B-9CAB-87456A206AE9}"/>
  </bookViews>
  <sheets>
    <sheet name="O" sheetId="2" r:id="rId1"/>
    <sheet name="O (2)" sheetId="5" r:id="rId2"/>
    <sheet name="Arkusz1" sheetId="1" state="hidden" r:id="rId3"/>
    <sheet name="X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7" i="2" l="1"/>
  <c r="P6" i="2"/>
  <c r="O6" i="2"/>
  <c r="N6" i="2"/>
  <c r="N11" i="2" s="1"/>
  <c r="S11" i="2" s="1"/>
  <c r="M6" i="2"/>
  <c r="M11" i="2" s="1"/>
  <c r="R11" i="2" s="1"/>
  <c r="W24" i="5"/>
  <c r="W22" i="5"/>
  <c r="W24" i="2"/>
  <c r="W22" i="2"/>
  <c r="W24" i="4"/>
  <c r="W22" i="4"/>
  <c r="M24" i="4"/>
  <c r="O24" i="4" s="1"/>
  <c r="M23" i="4"/>
  <c r="M22" i="4"/>
  <c r="M21" i="4"/>
  <c r="O24" i="5"/>
  <c r="O25" i="5" s="1"/>
  <c r="P26" i="5" s="1"/>
  <c r="R23" i="5" s="1"/>
  <c r="O23" i="5"/>
  <c r="O22" i="5"/>
  <c r="O21" i="5"/>
  <c r="N14" i="5"/>
  <c r="S14" i="5" s="1"/>
  <c r="M14" i="5"/>
  <c r="R14" i="5" s="1"/>
  <c r="N12" i="5"/>
  <c r="S12" i="5" s="1"/>
  <c r="P9" i="5"/>
  <c r="P14" i="5" s="1"/>
  <c r="U14" i="5" s="1"/>
  <c r="O9" i="5"/>
  <c r="O14" i="5" s="1"/>
  <c r="T14" i="5" s="1"/>
  <c r="N9" i="5"/>
  <c r="M9" i="5"/>
  <c r="P8" i="5"/>
  <c r="P13" i="5" s="1"/>
  <c r="U13" i="5" s="1"/>
  <c r="O8" i="5"/>
  <c r="O13" i="5" s="1"/>
  <c r="T13" i="5" s="1"/>
  <c r="N8" i="5"/>
  <c r="N13" i="5" s="1"/>
  <c r="S13" i="5" s="1"/>
  <c r="M8" i="5"/>
  <c r="M13" i="5" s="1"/>
  <c r="R13" i="5" s="1"/>
  <c r="P7" i="5"/>
  <c r="P12" i="5" s="1"/>
  <c r="U12" i="5" s="1"/>
  <c r="O7" i="5"/>
  <c r="O12" i="5" s="1"/>
  <c r="T12" i="5" s="1"/>
  <c r="N7" i="5"/>
  <c r="M7" i="5"/>
  <c r="M12" i="5" s="1"/>
  <c r="R12" i="5" s="1"/>
  <c r="P6" i="5"/>
  <c r="P11" i="5" s="1"/>
  <c r="U11" i="5" s="1"/>
  <c r="O6" i="5"/>
  <c r="O11" i="5" s="1"/>
  <c r="T11" i="5" s="1"/>
  <c r="N6" i="5"/>
  <c r="N11" i="5" s="1"/>
  <c r="S11" i="5" s="1"/>
  <c r="M6" i="5"/>
  <c r="M11" i="5" s="1"/>
  <c r="R11" i="5" s="1"/>
  <c r="O23" i="4"/>
  <c r="O22" i="4"/>
  <c r="O21" i="4"/>
  <c r="O22" i="2"/>
  <c r="O23" i="2"/>
  <c r="O24" i="2"/>
  <c r="O21" i="2"/>
  <c r="O25" i="2" s="1"/>
  <c r="P26" i="2" s="1"/>
  <c r="R23" i="2" s="1"/>
  <c r="T22" i="2" s="1"/>
  <c r="P9" i="4"/>
  <c r="P14" i="4" s="1"/>
  <c r="U14" i="4" s="1"/>
  <c r="O9" i="4"/>
  <c r="O14" i="4" s="1"/>
  <c r="T14" i="4" s="1"/>
  <c r="N9" i="4"/>
  <c r="N14" i="4" s="1"/>
  <c r="S14" i="4" s="1"/>
  <c r="M9" i="4"/>
  <c r="M14" i="4" s="1"/>
  <c r="R14" i="4" s="1"/>
  <c r="P8" i="4"/>
  <c r="P13" i="4" s="1"/>
  <c r="U13" i="4" s="1"/>
  <c r="O8" i="4"/>
  <c r="O13" i="4" s="1"/>
  <c r="T13" i="4" s="1"/>
  <c r="N8" i="4"/>
  <c r="N13" i="4" s="1"/>
  <c r="S13" i="4" s="1"/>
  <c r="M8" i="4"/>
  <c r="M13" i="4" s="1"/>
  <c r="R13" i="4" s="1"/>
  <c r="P7" i="4"/>
  <c r="P12" i="4" s="1"/>
  <c r="U12" i="4" s="1"/>
  <c r="O7" i="4"/>
  <c r="O12" i="4" s="1"/>
  <c r="T12" i="4" s="1"/>
  <c r="N7" i="4"/>
  <c r="N12" i="4" s="1"/>
  <c r="S12" i="4" s="1"/>
  <c r="M7" i="4"/>
  <c r="M12" i="4" s="1"/>
  <c r="R12" i="4" s="1"/>
  <c r="P6" i="4"/>
  <c r="P11" i="4" s="1"/>
  <c r="U11" i="4" s="1"/>
  <c r="O6" i="4"/>
  <c r="O11" i="4" s="1"/>
  <c r="T11" i="4" s="1"/>
  <c r="N6" i="4"/>
  <c r="N11" i="4" s="1"/>
  <c r="S11" i="4" s="1"/>
  <c r="M6" i="4"/>
  <c r="M11" i="4" s="1"/>
  <c r="R11" i="4" s="1"/>
  <c r="M12" i="2"/>
  <c r="R12" i="2" s="1"/>
  <c r="P12" i="2"/>
  <c r="U12" i="2" s="1"/>
  <c r="M13" i="2"/>
  <c r="R13" i="2" s="1"/>
  <c r="N14" i="2"/>
  <c r="S14" i="2" s="1"/>
  <c r="O14" i="2"/>
  <c r="T14" i="2" s="1"/>
  <c r="P11" i="2"/>
  <c r="U11" i="2" s="1"/>
  <c r="N7" i="2"/>
  <c r="N12" i="2" s="1"/>
  <c r="S12" i="2" s="1"/>
  <c r="O7" i="2"/>
  <c r="O12" i="2" s="1"/>
  <c r="T12" i="2" s="1"/>
  <c r="P7" i="2"/>
  <c r="M8" i="2"/>
  <c r="N8" i="2"/>
  <c r="N13" i="2" s="1"/>
  <c r="S13" i="2" s="1"/>
  <c r="O8" i="2"/>
  <c r="O13" i="2" s="1"/>
  <c r="T13" i="2" s="1"/>
  <c r="P8" i="2"/>
  <c r="P13" i="2" s="1"/>
  <c r="U13" i="2" s="1"/>
  <c r="M9" i="2"/>
  <c r="M14" i="2" s="1"/>
  <c r="R14" i="2" s="1"/>
  <c r="N9" i="2"/>
  <c r="O9" i="2"/>
  <c r="P9" i="2"/>
  <c r="P14" i="2" s="1"/>
  <c r="U14" i="2" s="1"/>
  <c r="O11" i="2"/>
  <c r="T11" i="2" s="1"/>
  <c r="O25" i="4" l="1"/>
  <c r="P26" i="4" s="1"/>
  <c r="R23" i="4" s="1"/>
  <c r="T22" i="4" s="1"/>
  <c r="T24" i="5"/>
  <c r="T22" i="5"/>
  <c r="T24" i="2"/>
  <c r="T24" i="4" l="1"/>
</calcChain>
</file>

<file path=xl/sharedStrings.xml><?xml version="1.0" encoding="utf-8"?>
<sst xmlns="http://schemas.openxmlformats.org/spreadsheetml/2006/main" count="53" uniqueCount="24">
  <si>
    <t>Jądro</t>
  </si>
  <si>
    <t>Dodanie obciążenia (-2)</t>
  </si>
  <si>
    <t>Zastosowanie funkcji aktywacji ReLu</t>
  </si>
  <si>
    <t>mapa cech</t>
  </si>
  <si>
    <t>łata</t>
  </si>
  <si>
    <t>SUMA.ILOCZYNÓW(E1:G3;$M$2:$O$4</t>
  </si>
  <si>
    <t>1.</t>
  </si>
  <si>
    <t>max-pooling</t>
  </si>
  <si>
    <t>mean/avarage</t>
  </si>
  <si>
    <t>Zastosowanie sieci neuronowej dla wejścia</t>
  </si>
  <si>
    <t>suma</t>
  </si>
  <si>
    <t>Łaty i jądra</t>
  </si>
  <si>
    <t>SUMA.ILOCZYNÓW(E1:G3;$M$2:$O$4)</t>
  </si>
  <si>
    <t>ReLu</t>
  </si>
  <si>
    <t>Wyjście</t>
  </si>
  <si>
    <t>X</t>
  </si>
  <si>
    <t>O</t>
  </si>
  <si>
    <t>waga</t>
  </si>
  <si>
    <t>obciążenie</t>
  </si>
  <si>
    <t>alternatywnie mean/avarage</t>
  </si>
  <si>
    <t>wynik</t>
  </si>
  <si>
    <t>Jądro/Filtr</t>
  </si>
  <si>
    <t>wagi</t>
  </si>
  <si>
    <t>dwa neurony na wyjściu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</si>
</sst>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Times New Roman"/>
      <family val="2"/>
      <charset val="238"/>
    </font>
    <font>
      <sz val="14"/>
      <color theme="1"/>
      <name val="Times New Roman"/>
      <family val="2"/>
      <charset val="238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4"/>
      <color theme="1"/>
      <name val="Times New Roman"/>
      <family val="1"/>
      <charset val="238"/>
    </font>
    <font>
      <b/>
      <sz val="12"/>
      <color theme="1"/>
      <name val="Times New Roman"/>
      <family val="1"/>
      <charset val="238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1" fillId="6" borderId="0" xfId="0" applyFont="1" applyFill="1" applyAlignment="1">
      <alignment horizontal="center" vertical="center"/>
    </xf>
    <xf numFmtId="0" fontId="0" fillId="0" borderId="0" xfId="0" quotePrefix="1" applyAlignment="1">
      <alignment horizontal="center"/>
    </xf>
    <xf numFmtId="0" fontId="0" fillId="0" borderId="1" xfId="0" applyBorder="1"/>
    <xf numFmtId="0" fontId="0" fillId="0" borderId="0" xfId="0" applyAlignment="1">
      <alignment vertical="center"/>
    </xf>
    <xf numFmtId="0" fontId="0" fillId="7" borderId="1" xfId="0" applyFill="1" applyBorder="1"/>
    <xf numFmtId="0" fontId="0" fillId="7" borderId="0" xfId="0" applyFill="1"/>
    <xf numFmtId="0" fontId="3" fillId="0" borderId="0" xfId="0" applyFont="1"/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1" xfId="0" applyFill="1" applyBorder="1"/>
    <xf numFmtId="0" fontId="0" fillId="5" borderId="1" xfId="0" applyFill="1" applyBorder="1"/>
    <xf numFmtId="164" fontId="0" fillId="2" borderId="0" xfId="0" applyNumberFormat="1" applyFill="1"/>
    <xf numFmtId="0" fontId="2" fillId="0" borderId="2" xfId="0" applyFont="1" applyBorder="1" applyAlignment="1">
      <alignment horizontal="center"/>
    </xf>
  </cellXfs>
  <cellStyles count="1">
    <cellStyle name="Normalny" xfId="0" builtinId="0"/>
  </cellStyles>
  <dxfs count="17"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577850</xdr:colOff>
      <xdr:row>10</xdr:row>
      <xdr:rowOff>190500</xdr:rowOff>
    </xdr:from>
    <xdr:to>
      <xdr:col>11</xdr:col>
      <xdr:colOff>571500</xdr:colOff>
      <xdr:row>13</xdr:row>
      <xdr:rowOff>88900</xdr:rowOff>
    </xdr:to>
    <xdr:cxnSp macro="">
      <xdr:nvCxnSpPr>
        <xdr:cNvPr id="4" name="Łącznik prosty ze strzałką 3">
          <a:extLst>
            <a:ext uri="{FF2B5EF4-FFF2-40B4-BE49-F238E27FC236}">
              <a16:creationId xmlns:a16="http://schemas.microsoft.com/office/drawing/2014/main" id="{C6CE30DD-4954-8D8F-0965-EC99D352846A}"/>
            </a:ext>
          </a:extLst>
        </xdr:cNvPr>
        <xdr:cNvCxnSpPr/>
      </xdr:nvCxnSpPr>
      <xdr:spPr>
        <a:xfrm flipV="1">
          <a:off x="4965700" y="3238500"/>
          <a:ext cx="603250" cy="812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114300</xdr:colOff>
      <xdr:row>0</xdr:row>
      <xdr:rowOff>260350</xdr:rowOff>
    </xdr:from>
    <xdr:to>
      <xdr:col>4</xdr:col>
      <xdr:colOff>25400</xdr:colOff>
      <xdr:row>3</xdr:row>
      <xdr:rowOff>133350</xdr:rowOff>
    </xdr:to>
    <xdr:cxnSp macro="">
      <xdr:nvCxnSpPr>
        <xdr:cNvPr id="6" name="Łącznik prosty ze strzałką 5">
          <a:extLst>
            <a:ext uri="{FF2B5EF4-FFF2-40B4-BE49-F238E27FC236}">
              <a16:creationId xmlns:a16="http://schemas.microsoft.com/office/drawing/2014/main" id="{76E7DDA9-A815-D15A-D21B-904F5E3BA56D}"/>
            </a:ext>
          </a:extLst>
        </xdr:cNvPr>
        <xdr:cNvCxnSpPr/>
      </xdr:nvCxnSpPr>
      <xdr:spPr>
        <a:xfrm flipV="1">
          <a:off x="1873250" y="260350"/>
          <a:ext cx="520700" cy="787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450850</xdr:colOff>
      <xdr:row>20</xdr:row>
      <xdr:rowOff>88900</xdr:rowOff>
    </xdr:from>
    <xdr:to>
      <xdr:col>14</xdr:col>
      <xdr:colOff>6350</xdr:colOff>
      <xdr:row>20</xdr:row>
      <xdr:rowOff>95250</xdr:rowOff>
    </xdr:to>
    <xdr:cxnSp macro="">
      <xdr:nvCxnSpPr>
        <xdr:cNvPr id="10" name="Łącznik prosty ze strzałką 9">
          <a:extLst>
            <a:ext uri="{FF2B5EF4-FFF2-40B4-BE49-F238E27FC236}">
              <a16:creationId xmlns:a16="http://schemas.microsoft.com/office/drawing/2014/main" id="{1B716888-B30F-65B4-8346-39E4871F62FF}"/>
            </a:ext>
          </a:extLst>
        </xdr:cNvPr>
        <xdr:cNvCxnSpPr/>
      </xdr:nvCxnSpPr>
      <xdr:spPr>
        <a:xfrm flipV="1">
          <a:off x="6057900" y="6184900"/>
          <a:ext cx="482600" cy="6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6350</xdr:colOff>
      <xdr:row>22</xdr:row>
      <xdr:rowOff>184150</xdr:rowOff>
    </xdr:from>
    <xdr:to>
      <xdr:col>14</xdr:col>
      <xdr:colOff>25400</xdr:colOff>
      <xdr:row>22</xdr:row>
      <xdr:rowOff>190500</xdr:rowOff>
    </xdr:to>
    <xdr:cxnSp macro="">
      <xdr:nvCxnSpPr>
        <xdr:cNvPr id="14" name="Łącznik prosty ze strzałką 13">
          <a:extLst>
            <a:ext uri="{FF2B5EF4-FFF2-40B4-BE49-F238E27FC236}">
              <a16:creationId xmlns:a16="http://schemas.microsoft.com/office/drawing/2014/main" id="{FC4BE243-E1DB-4050-8AF7-11CE64C2D098}"/>
            </a:ext>
          </a:extLst>
        </xdr:cNvPr>
        <xdr:cNvCxnSpPr/>
      </xdr:nvCxnSpPr>
      <xdr:spPr>
        <a:xfrm flipV="1">
          <a:off x="6076950" y="6889750"/>
          <a:ext cx="482600" cy="6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12700</xdr:colOff>
      <xdr:row>23</xdr:row>
      <xdr:rowOff>127000</xdr:rowOff>
    </xdr:from>
    <xdr:to>
      <xdr:col>14</xdr:col>
      <xdr:colOff>31750</xdr:colOff>
      <xdr:row>23</xdr:row>
      <xdr:rowOff>133350</xdr:rowOff>
    </xdr:to>
    <xdr:cxnSp macro="">
      <xdr:nvCxnSpPr>
        <xdr:cNvPr id="15" name="Łącznik prosty ze strzałką 14">
          <a:extLst>
            <a:ext uri="{FF2B5EF4-FFF2-40B4-BE49-F238E27FC236}">
              <a16:creationId xmlns:a16="http://schemas.microsoft.com/office/drawing/2014/main" id="{DA6BFD2C-BA07-40B6-891C-77F5F03741CA}"/>
            </a:ext>
          </a:extLst>
        </xdr:cNvPr>
        <xdr:cNvCxnSpPr/>
      </xdr:nvCxnSpPr>
      <xdr:spPr>
        <a:xfrm flipV="1">
          <a:off x="6083300" y="7137400"/>
          <a:ext cx="482600" cy="6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450850</xdr:colOff>
      <xdr:row>21</xdr:row>
      <xdr:rowOff>177800</xdr:rowOff>
    </xdr:from>
    <xdr:to>
      <xdr:col>14</xdr:col>
      <xdr:colOff>6350</xdr:colOff>
      <xdr:row>21</xdr:row>
      <xdr:rowOff>184150</xdr:rowOff>
    </xdr:to>
    <xdr:cxnSp macro="">
      <xdr:nvCxnSpPr>
        <xdr:cNvPr id="16" name="Łącznik prosty ze strzałką 15">
          <a:extLst>
            <a:ext uri="{FF2B5EF4-FFF2-40B4-BE49-F238E27FC236}">
              <a16:creationId xmlns:a16="http://schemas.microsoft.com/office/drawing/2014/main" id="{5E8DCB36-6383-426B-8B02-71EB64FE9B09}"/>
            </a:ext>
          </a:extLst>
        </xdr:cNvPr>
        <xdr:cNvCxnSpPr/>
      </xdr:nvCxnSpPr>
      <xdr:spPr>
        <a:xfrm flipV="1">
          <a:off x="6057900" y="6578600"/>
          <a:ext cx="482600" cy="6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330200</xdr:colOff>
      <xdr:row>16</xdr:row>
      <xdr:rowOff>146050</xdr:rowOff>
    </xdr:from>
    <xdr:to>
      <xdr:col>12</xdr:col>
      <xdr:colOff>171450</xdr:colOff>
      <xdr:row>16</xdr:row>
      <xdr:rowOff>273050</xdr:rowOff>
    </xdr:to>
    <xdr:cxnSp macro="">
      <xdr:nvCxnSpPr>
        <xdr:cNvPr id="18" name="Łącznik prosty ze strzałką 17">
          <a:extLst>
            <a:ext uri="{FF2B5EF4-FFF2-40B4-BE49-F238E27FC236}">
              <a16:creationId xmlns:a16="http://schemas.microsoft.com/office/drawing/2014/main" id="{1947CB8C-9839-4BA7-B09A-DFFB78DB8F4B}"/>
            </a:ext>
          </a:extLst>
        </xdr:cNvPr>
        <xdr:cNvCxnSpPr/>
      </xdr:nvCxnSpPr>
      <xdr:spPr>
        <a:xfrm flipH="1">
          <a:off x="3371850" y="5022850"/>
          <a:ext cx="2406650" cy="12700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590550</xdr:colOff>
      <xdr:row>15</xdr:row>
      <xdr:rowOff>292100</xdr:rowOff>
    </xdr:from>
    <xdr:to>
      <xdr:col>7</xdr:col>
      <xdr:colOff>19050</xdr:colOff>
      <xdr:row>19</xdr:row>
      <xdr:rowOff>25400</xdr:rowOff>
    </xdr:to>
    <xdr:sp macro="" textlink="">
      <xdr:nvSpPr>
        <xdr:cNvPr id="26" name="Prostokąt 25">
          <a:extLst>
            <a:ext uri="{FF2B5EF4-FFF2-40B4-BE49-F238E27FC236}">
              <a16:creationId xmlns:a16="http://schemas.microsoft.com/office/drawing/2014/main" id="{A25B27DA-619D-FE2E-AD3B-70916113A6DD}"/>
            </a:ext>
          </a:extLst>
        </xdr:cNvPr>
        <xdr:cNvSpPr/>
      </xdr:nvSpPr>
      <xdr:spPr>
        <a:xfrm>
          <a:off x="2349500" y="4864100"/>
          <a:ext cx="1047750" cy="9525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15</xdr:col>
      <xdr:colOff>428625</xdr:colOff>
      <xdr:row>22</xdr:row>
      <xdr:rowOff>257175</xdr:rowOff>
    </xdr:from>
    <xdr:to>
      <xdr:col>17</xdr:col>
      <xdr:colOff>98425</xdr:colOff>
      <xdr:row>25</xdr:row>
      <xdr:rowOff>95250</xdr:rowOff>
    </xdr:to>
    <xdr:cxnSp macro="">
      <xdr:nvCxnSpPr>
        <xdr:cNvPr id="27" name="Łącznik prosty ze strzałką 26">
          <a:extLst>
            <a:ext uri="{FF2B5EF4-FFF2-40B4-BE49-F238E27FC236}">
              <a16:creationId xmlns:a16="http://schemas.microsoft.com/office/drawing/2014/main" id="{A8FA28AC-527B-4F5E-814A-F0301DDFAC1D}"/>
            </a:ext>
          </a:extLst>
        </xdr:cNvPr>
        <xdr:cNvCxnSpPr/>
      </xdr:nvCxnSpPr>
      <xdr:spPr>
        <a:xfrm flipV="1">
          <a:off x="7248525" y="6962775"/>
          <a:ext cx="565150" cy="7524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177800</xdr:colOff>
      <xdr:row>18</xdr:row>
      <xdr:rowOff>31750</xdr:rowOff>
    </xdr:from>
    <xdr:to>
      <xdr:col>12</xdr:col>
      <xdr:colOff>184150</xdr:colOff>
      <xdr:row>19</xdr:row>
      <xdr:rowOff>88900</xdr:rowOff>
    </xdr:to>
    <xdr:cxnSp macro="">
      <xdr:nvCxnSpPr>
        <xdr:cNvPr id="11" name="Łącznik prosty ze strzałką 10">
          <a:extLst>
            <a:ext uri="{FF2B5EF4-FFF2-40B4-BE49-F238E27FC236}">
              <a16:creationId xmlns:a16="http://schemas.microsoft.com/office/drawing/2014/main" id="{B6E2AC84-40B3-4592-85D0-6EFF6F200FF2}"/>
            </a:ext>
          </a:extLst>
        </xdr:cNvPr>
        <xdr:cNvCxnSpPr/>
      </xdr:nvCxnSpPr>
      <xdr:spPr>
        <a:xfrm>
          <a:off x="5784850" y="5518150"/>
          <a:ext cx="6350" cy="36195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</xdr:colOff>
      <xdr:row>18</xdr:row>
      <xdr:rowOff>238125</xdr:rowOff>
    </xdr:from>
    <xdr:to>
      <xdr:col>17</xdr:col>
      <xdr:colOff>390525</xdr:colOff>
      <xdr:row>20</xdr:row>
      <xdr:rowOff>95250</xdr:rowOff>
    </xdr:to>
    <xdr:cxnSp macro="">
      <xdr:nvCxnSpPr>
        <xdr:cNvPr id="3" name="Łącznik prosty ze strzałką 2">
          <a:extLst>
            <a:ext uri="{FF2B5EF4-FFF2-40B4-BE49-F238E27FC236}">
              <a16:creationId xmlns:a16="http://schemas.microsoft.com/office/drawing/2014/main" id="{E88C518E-CD78-4AAE-B95D-1876076957CF}"/>
            </a:ext>
          </a:extLst>
        </xdr:cNvPr>
        <xdr:cNvCxnSpPr/>
      </xdr:nvCxnSpPr>
      <xdr:spPr>
        <a:xfrm flipH="1">
          <a:off x="7258052" y="5724525"/>
          <a:ext cx="847723" cy="4667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171450</xdr:colOff>
      <xdr:row>18</xdr:row>
      <xdr:rowOff>295275</xdr:rowOff>
    </xdr:from>
    <xdr:to>
      <xdr:col>19</xdr:col>
      <xdr:colOff>9525</xdr:colOff>
      <xdr:row>20</xdr:row>
      <xdr:rowOff>9525</xdr:rowOff>
    </xdr:to>
    <xdr:cxnSp macro="">
      <xdr:nvCxnSpPr>
        <xdr:cNvPr id="17" name="Łącznik prosty ze strzałką 16">
          <a:extLst>
            <a:ext uri="{FF2B5EF4-FFF2-40B4-BE49-F238E27FC236}">
              <a16:creationId xmlns:a16="http://schemas.microsoft.com/office/drawing/2014/main" id="{85A86BEF-F0F1-4CF3-84DF-A4CAA8D5724E}"/>
            </a:ext>
          </a:extLst>
        </xdr:cNvPr>
        <xdr:cNvCxnSpPr/>
      </xdr:nvCxnSpPr>
      <xdr:spPr>
        <a:xfrm>
          <a:off x="8305800" y="5781675"/>
          <a:ext cx="257175" cy="323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219076</xdr:colOff>
      <xdr:row>18</xdr:row>
      <xdr:rowOff>38100</xdr:rowOff>
    </xdr:from>
    <xdr:to>
      <xdr:col>21</xdr:col>
      <xdr:colOff>542925</xdr:colOff>
      <xdr:row>20</xdr:row>
      <xdr:rowOff>57150</xdr:rowOff>
    </xdr:to>
    <xdr:cxnSp macro="">
      <xdr:nvCxnSpPr>
        <xdr:cNvPr id="13" name="Łącznik prosty ze strzałką 12">
          <a:extLst>
            <a:ext uri="{FF2B5EF4-FFF2-40B4-BE49-F238E27FC236}">
              <a16:creationId xmlns:a16="http://schemas.microsoft.com/office/drawing/2014/main" id="{0052A4BC-70A9-4564-B3C9-3B43433A45F3}"/>
            </a:ext>
          </a:extLst>
        </xdr:cNvPr>
        <xdr:cNvCxnSpPr/>
      </xdr:nvCxnSpPr>
      <xdr:spPr>
        <a:xfrm flipH="1">
          <a:off x="9315451" y="5524500"/>
          <a:ext cx="742949" cy="628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28575</xdr:colOff>
      <xdr:row>21</xdr:row>
      <xdr:rowOff>209550</xdr:rowOff>
    </xdr:from>
    <xdr:to>
      <xdr:col>22</xdr:col>
      <xdr:colOff>57150</xdr:colOff>
      <xdr:row>21</xdr:row>
      <xdr:rowOff>228600</xdr:rowOff>
    </xdr:to>
    <xdr:cxnSp macro="">
      <xdr:nvCxnSpPr>
        <xdr:cNvPr id="23" name="Łącznik prosty ze strzałką 22">
          <a:extLst>
            <a:ext uri="{FF2B5EF4-FFF2-40B4-BE49-F238E27FC236}">
              <a16:creationId xmlns:a16="http://schemas.microsoft.com/office/drawing/2014/main" id="{5B1AC503-DDC6-4792-9F93-EACA77FDE344}"/>
            </a:ext>
          </a:extLst>
        </xdr:cNvPr>
        <xdr:cNvCxnSpPr/>
      </xdr:nvCxnSpPr>
      <xdr:spPr>
        <a:xfrm flipV="1">
          <a:off x="9124950" y="6610350"/>
          <a:ext cx="1057275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</xdr:colOff>
      <xdr:row>16</xdr:row>
      <xdr:rowOff>9525</xdr:rowOff>
    </xdr:from>
    <xdr:to>
      <xdr:col>20</xdr:col>
      <xdr:colOff>257175</xdr:colOff>
      <xdr:row>19</xdr:row>
      <xdr:rowOff>276225</xdr:rowOff>
    </xdr:to>
    <xdr:cxnSp macro="">
      <xdr:nvCxnSpPr>
        <xdr:cNvPr id="30" name="Łącznik prosty ze strzałką 29">
          <a:extLst>
            <a:ext uri="{FF2B5EF4-FFF2-40B4-BE49-F238E27FC236}">
              <a16:creationId xmlns:a16="http://schemas.microsoft.com/office/drawing/2014/main" id="{6CDB154B-F61D-48E7-A475-534EABDE0910}"/>
            </a:ext>
          </a:extLst>
        </xdr:cNvPr>
        <xdr:cNvCxnSpPr/>
      </xdr:nvCxnSpPr>
      <xdr:spPr>
        <a:xfrm flipH="1">
          <a:off x="9105900" y="4886325"/>
          <a:ext cx="247650" cy="1181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577850</xdr:colOff>
      <xdr:row>10</xdr:row>
      <xdr:rowOff>190500</xdr:rowOff>
    </xdr:from>
    <xdr:to>
      <xdr:col>11</xdr:col>
      <xdr:colOff>571500</xdr:colOff>
      <xdr:row>13</xdr:row>
      <xdr:rowOff>88900</xdr:rowOff>
    </xdr:to>
    <xdr:cxnSp macro="">
      <xdr:nvCxnSpPr>
        <xdr:cNvPr id="2" name="Łącznik prosty ze strzałką 1">
          <a:extLst>
            <a:ext uri="{FF2B5EF4-FFF2-40B4-BE49-F238E27FC236}">
              <a16:creationId xmlns:a16="http://schemas.microsoft.com/office/drawing/2014/main" id="{8A007FBD-B7ED-4357-8F88-06B66DC65B8E}"/>
            </a:ext>
          </a:extLst>
        </xdr:cNvPr>
        <xdr:cNvCxnSpPr/>
      </xdr:nvCxnSpPr>
      <xdr:spPr>
        <a:xfrm flipV="1">
          <a:off x="4965700" y="3238500"/>
          <a:ext cx="603250" cy="812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114300</xdr:colOff>
      <xdr:row>0</xdr:row>
      <xdr:rowOff>260350</xdr:rowOff>
    </xdr:from>
    <xdr:to>
      <xdr:col>4</xdr:col>
      <xdr:colOff>25400</xdr:colOff>
      <xdr:row>3</xdr:row>
      <xdr:rowOff>133350</xdr:rowOff>
    </xdr:to>
    <xdr:cxnSp macro="">
      <xdr:nvCxnSpPr>
        <xdr:cNvPr id="3" name="Łącznik prosty ze strzałką 2">
          <a:extLst>
            <a:ext uri="{FF2B5EF4-FFF2-40B4-BE49-F238E27FC236}">
              <a16:creationId xmlns:a16="http://schemas.microsoft.com/office/drawing/2014/main" id="{9C00FA17-9E8A-4BA3-AFD7-4C23BE8420FB}"/>
            </a:ext>
          </a:extLst>
        </xdr:cNvPr>
        <xdr:cNvCxnSpPr/>
      </xdr:nvCxnSpPr>
      <xdr:spPr>
        <a:xfrm flipV="1">
          <a:off x="1873250" y="260350"/>
          <a:ext cx="520700" cy="787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450850</xdr:colOff>
      <xdr:row>20</xdr:row>
      <xdr:rowOff>88900</xdr:rowOff>
    </xdr:from>
    <xdr:to>
      <xdr:col>14</xdr:col>
      <xdr:colOff>6350</xdr:colOff>
      <xdr:row>20</xdr:row>
      <xdr:rowOff>95250</xdr:rowOff>
    </xdr:to>
    <xdr:cxnSp macro="">
      <xdr:nvCxnSpPr>
        <xdr:cNvPr id="4" name="Łącznik prosty ze strzałką 3">
          <a:extLst>
            <a:ext uri="{FF2B5EF4-FFF2-40B4-BE49-F238E27FC236}">
              <a16:creationId xmlns:a16="http://schemas.microsoft.com/office/drawing/2014/main" id="{11AA4B89-4B37-4107-9A4D-91400DF2C3A4}"/>
            </a:ext>
          </a:extLst>
        </xdr:cNvPr>
        <xdr:cNvCxnSpPr/>
      </xdr:nvCxnSpPr>
      <xdr:spPr>
        <a:xfrm flipV="1">
          <a:off x="6057900" y="6184900"/>
          <a:ext cx="482600" cy="6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6350</xdr:colOff>
      <xdr:row>22</xdr:row>
      <xdr:rowOff>184150</xdr:rowOff>
    </xdr:from>
    <xdr:to>
      <xdr:col>14</xdr:col>
      <xdr:colOff>25400</xdr:colOff>
      <xdr:row>22</xdr:row>
      <xdr:rowOff>190500</xdr:rowOff>
    </xdr:to>
    <xdr:cxnSp macro="">
      <xdr:nvCxnSpPr>
        <xdr:cNvPr id="5" name="Łącznik prosty ze strzałką 4">
          <a:extLst>
            <a:ext uri="{FF2B5EF4-FFF2-40B4-BE49-F238E27FC236}">
              <a16:creationId xmlns:a16="http://schemas.microsoft.com/office/drawing/2014/main" id="{A85386CC-EEEC-4BF0-A8FF-77DAA3478D99}"/>
            </a:ext>
          </a:extLst>
        </xdr:cNvPr>
        <xdr:cNvCxnSpPr/>
      </xdr:nvCxnSpPr>
      <xdr:spPr>
        <a:xfrm flipV="1">
          <a:off x="6076950" y="6889750"/>
          <a:ext cx="482600" cy="6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12700</xdr:colOff>
      <xdr:row>23</xdr:row>
      <xdr:rowOff>127000</xdr:rowOff>
    </xdr:from>
    <xdr:to>
      <xdr:col>14</xdr:col>
      <xdr:colOff>31750</xdr:colOff>
      <xdr:row>23</xdr:row>
      <xdr:rowOff>133350</xdr:rowOff>
    </xdr:to>
    <xdr:cxnSp macro="">
      <xdr:nvCxnSpPr>
        <xdr:cNvPr id="6" name="Łącznik prosty ze strzałką 5">
          <a:extLst>
            <a:ext uri="{FF2B5EF4-FFF2-40B4-BE49-F238E27FC236}">
              <a16:creationId xmlns:a16="http://schemas.microsoft.com/office/drawing/2014/main" id="{96BE383E-D3B6-4EC9-A42B-D98A68BDE749}"/>
            </a:ext>
          </a:extLst>
        </xdr:cNvPr>
        <xdr:cNvCxnSpPr/>
      </xdr:nvCxnSpPr>
      <xdr:spPr>
        <a:xfrm flipV="1">
          <a:off x="6083300" y="7137400"/>
          <a:ext cx="482600" cy="6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450850</xdr:colOff>
      <xdr:row>21</xdr:row>
      <xdr:rowOff>177800</xdr:rowOff>
    </xdr:from>
    <xdr:to>
      <xdr:col>14</xdr:col>
      <xdr:colOff>6350</xdr:colOff>
      <xdr:row>21</xdr:row>
      <xdr:rowOff>184150</xdr:rowOff>
    </xdr:to>
    <xdr:cxnSp macro="">
      <xdr:nvCxnSpPr>
        <xdr:cNvPr id="7" name="Łącznik prosty ze strzałką 6">
          <a:extLst>
            <a:ext uri="{FF2B5EF4-FFF2-40B4-BE49-F238E27FC236}">
              <a16:creationId xmlns:a16="http://schemas.microsoft.com/office/drawing/2014/main" id="{5A195968-4EDD-41DA-A290-4A6F7351D033}"/>
            </a:ext>
          </a:extLst>
        </xdr:cNvPr>
        <xdr:cNvCxnSpPr/>
      </xdr:nvCxnSpPr>
      <xdr:spPr>
        <a:xfrm flipV="1">
          <a:off x="6057900" y="6578600"/>
          <a:ext cx="482600" cy="6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330200</xdr:colOff>
      <xdr:row>16</xdr:row>
      <xdr:rowOff>146050</xdr:rowOff>
    </xdr:from>
    <xdr:to>
      <xdr:col>12</xdr:col>
      <xdr:colOff>171450</xdr:colOff>
      <xdr:row>16</xdr:row>
      <xdr:rowOff>273050</xdr:rowOff>
    </xdr:to>
    <xdr:cxnSp macro="">
      <xdr:nvCxnSpPr>
        <xdr:cNvPr id="8" name="Łącznik prosty ze strzałką 7">
          <a:extLst>
            <a:ext uri="{FF2B5EF4-FFF2-40B4-BE49-F238E27FC236}">
              <a16:creationId xmlns:a16="http://schemas.microsoft.com/office/drawing/2014/main" id="{071A8F45-CDF7-4561-916F-5ECEDADD2CF8}"/>
            </a:ext>
          </a:extLst>
        </xdr:cNvPr>
        <xdr:cNvCxnSpPr/>
      </xdr:nvCxnSpPr>
      <xdr:spPr>
        <a:xfrm flipH="1">
          <a:off x="3371850" y="5022850"/>
          <a:ext cx="2406650" cy="12700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450850</xdr:colOff>
      <xdr:row>22</xdr:row>
      <xdr:rowOff>266700</xdr:rowOff>
    </xdr:from>
    <xdr:to>
      <xdr:col>16</xdr:col>
      <xdr:colOff>450850</xdr:colOff>
      <xdr:row>25</xdr:row>
      <xdr:rowOff>139700</xdr:rowOff>
    </xdr:to>
    <xdr:cxnSp macro="">
      <xdr:nvCxnSpPr>
        <xdr:cNvPr id="10" name="Łącznik prosty ze strzałką 9">
          <a:extLst>
            <a:ext uri="{FF2B5EF4-FFF2-40B4-BE49-F238E27FC236}">
              <a16:creationId xmlns:a16="http://schemas.microsoft.com/office/drawing/2014/main" id="{3B1EEA8D-CE16-46D5-8D4E-2BE7347FD05A}"/>
            </a:ext>
          </a:extLst>
        </xdr:cNvPr>
        <xdr:cNvCxnSpPr/>
      </xdr:nvCxnSpPr>
      <xdr:spPr>
        <a:xfrm flipV="1">
          <a:off x="7448550" y="6972300"/>
          <a:ext cx="463550" cy="787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</xdr:colOff>
      <xdr:row>0</xdr:row>
      <xdr:rowOff>31750</xdr:rowOff>
    </xdr:from>
    <xdr:to>
      <xdr:col>7</xdr:col>
      <xdr:colOff>31750</xdr:colOff>
      <xdr:row>3</xdr:row>
      <xdr:rowOff>25400</xdr:rowOff>
    </xdr:to>
    <xdr:sp macro="" textlink="">
      <xdr:nvSpPr>
        <xdr:cNvPr id="9" name="Prostokąt 8">
          <a:extLst>
            <a:ext uri="{FF2B5EF4-FFF2-40B4-BE49-F238E27FC236}">
              <a16:creationId xmlns:a16="http://schemas.microsoft.com/office/drawing/2014/main" id="{F4C0164C-D51E-49FA-ABFC-8F66753B1207}"/>
            </a:ext>
          </a:extLst>
        </xdr:cNvPr>
        <xdr:cNvSpPr/>
      </xdr:nvSpPr>
      <xdr:spPr>
        <a:xfrm flipH="1">
          <a:off x="2101850" y="31750"/>
          <a:ext cx="1022350" cy="9080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304800</xdr:colOff>
      <xdr:row>10</xdr:row>
      <xdr:rowOff>190500</xdr:rowOff>
    </xdr:from>
    <xdr:to>
      <xdr:col>11</xdr:col>
      <xdr:colOff>571500</xdr:colOff>
      <xdr:row>12</xdr:row>
      <xdr:rowOff>209550</xdr:rowOff>
    </xdr:to>
    <xdr:cxnSp macro="">
      <xdr:nvCxnSpPr>
        <xdr:cNvPr id="2" name="Łącznik prosty ze strzałką 1">
          <a:extLst>
            <a:ext uri="{FF2B5EF4-FFF2-40B4-BE49-F238E27FC236}">
              <a16:creationId xmlns:a16="http://schemas.microsoft.com/office/drawing/2014/main" id="{2B994EF0-607F-4406-A551-B6A1B3AE45E4}"/>
            </a:ext>
          </a:extLst>
        </xdr:cNvPr>
        <xdr:cNvCxnSpPr/>
      </xdr:nvCxnSpPr>
      <xdr:spPr>
        <a:xfrm flipV="1">
          <a:off x="5302250" y="3238500"/>
          <a:ext cx="266700" cy="628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114300</xdr:colOff>
      <xdr:row>0</xdr:row>
      <xdr:rowOff>260350</xdr:rowOff>
    </xdr:from>
    <xdr:to>
      <xdr:col>4</xdr:col>
      <xdr:colOff>25400</xdr:colOff>
      <xdr:row>3</xdr:row>
      <xdr:rowOff>133350</xdr:rowOff>
    </xdr:to>
    <xdr:cxnSp macro="">
      <xdr:nvCxnSpPr>
        <xdr:cNvPr id="3" name="Łącznik prosty ze strzałką 2">
          <a:extLst>
            <a:ext uri="{FF2B5EF4-FFF2-40B4-BE49-F238E27FC236}">
              <a16:creationId xmlns:a16="http://schemas.microsoft.com/office/drawing/2014/main" id="{42DE0637-014D-4644-B614-A548AD32F34C}"/>
            </a:ext>
          </a:extLst>
        </xdr:cNvPr>
        <xdr:cNvCxnSpPr/>
      </xdr:nvCxnSpPr>
      <xdr:spPr>
        <a:xfrm flipV="1">
          <a:off x="1873250" y="260350"/>
          <a:ext cx="520700" cy="787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6350</xdr:colOff>
      <xdr:row>22</xdr:row>
      <xdr:rowOff>184150</xdr:rowOff>
    </xdr:from>
    <xdr:to>
      <xdr:col>14</xdr:col>
      <xdr:colOff>25400</xdr:colOff>
      <xdr:row>22</xdr:row>
      <xdr:rowOff>190500</xdr:rowOff>
    </xdr:to>
    <xdr:cxnSp macro="">
      <xdr:nvCxnSpPr>
        <xdr:cNvPr id="4" name="Łącznik prosty ze strzałką 3">
          <a:extLst>
            <a:ext uri="{FF2B5EF4-FFF2-40B4-BE49-F238E27FC236}">
              <a16:creationId xmlns:a16="http://schemas.microsoft.com/office/drawing/2014/main" id="{006400C2-7B47-468A-AA2C-4A15DDF5AB20}"/>
            </a:ext>
          </a:extLst>
        </xdr:cNvPr>
        <xdr:cNvCxnSpPr/>
      </xdr:nvCxnSpPr>
      <xdr:spPr>
        <a:xfrm flipV="1">
          <a:off x="6076950" y="6889750"/>
          <a:ext cx="482600" cy="6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12700</xdr:colOff>
      <xdr:row>23</xdr:row>
      <xdr:rowOff>127000</xdr:rowOff>
    </xdr:from>
    <xdr:to>
      <xdr:col>14</xdr:col>
      <xdr:colOff>31750</xdr:colOff>
      <xdr:row>23</xdr:row>
      <xdr:rowOff>133350</xdr:rowOff>
    </xdr:to>
    <xdr:cxnSp macro="">
      <xdr:nvCxnSpPr>
        <xdr:cNvPr id="5" name="Łącznik prosty ze strzałką 4">
          <a:extLst>
            <a:ext uri="{FF2B5EF4-FFF2-40B4-BE49-F238E27FC236}">
              <a16:creationId xmlns:a16="http://schemas.microsoft.com/office/drawing/2014/main" id="{A5939EE8-20E4-4D63-A161-79194F19B233}"/>
            </a:ext>
          </a:extLst>
        </xdr:cNvPr>
        <xdr:cNvCxnSpPr/>
      </xdr:nvCxnSpPr>
      <xdr:spPr>
        <a:xfrm flipV="1">
          <a:off x="6083300" y="7137400"/>
          <a:ext cx="482600" cy="6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450850</xdr:colOff>
      <xdr:row>22</xdr:row>
      <xdr:rowOff>266700</xdr:rowOff>
    </xdr:from>
    <xdr:to>
      <xdr:col>16</xdr:col>
      <xdr:colOff>450850</xdr:colOff>
      <xdr:row>25</xdr:row>
      <xdr:rowOff>139700</xdr:rowOff>
    </xdr:to>
    <xdr:cxnSp macro="">
      <xdr:nvCxnSpPr>
        <xdr:cNvPr id="6" name="Łącznik prosty ze strzałką 5">
          <a:extLst>
            <a:ext uri="{FF2B5EF4-FFF2-40B4-BE49-F238E27FC236}">
              <a16:creationId xmlns:a16="http://schemas.microsoft.com/office/drawing/2014/main" id="{F1034580-90FC-4505-8EFC-8648EE5C9BA8}"/>
            </a:ext>
          </a:extLst>
        </xdr:cNvPr>
        <xdr:cNvCxnSpPr/>
      </xdr:nvCxnSpPr>
      <xdr:spPr>
        <a:xfrm flipV="1">
          <a:off x="7448550" y="6972300"/>
          <a:ext cx="463550" cy="787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254000</xdr:colOff>
      <xdr:row>19</xdr:row>
      <xdr:rowOff>120650</xdr:rowOff>
    </xdr:from>
    <xdr:to>
      <xdr:col>22</xdr:col>
      <xdr:colOff>0</xdr:colOff>
      <xdr:row>20</xdr:row>
      <xdr:rowOff>133350</xdr:rowOff>
    </xdr:to>
    <xdr:cxnSp macro="">
      <xdr:nvCxnSpPr>
        <xdr:cNvPr id="7" name="Łącznik prosty ze strzałką 6">
          <a:extLst>
            <a:ext uri="{FF2B5EF4-FFF2-40B4-BE49-F238E27FC236}">
              <a16:creationId xmlns:a16="http://schemas.microsoft.com/office/drawing/2014/main" id="{8435E089-5210-4AB4-83BF-EE2890547AE5}"/>
            </a:ext>
          </a:extLst>
        </xdr:cNvPr>
        <xdr:cNvCxnSpPr/>
      </xdr:nvCxnSpPr>
      <xdr:spPr>
        <a:xfrm flipH="1">
          <a:off x="9505950" y="5911850"/>
          <a:ext cx="793750" cy="317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444500</xdr:colOff>
      <xdr:row>17</xdr:row>
      <xdr:rowOff>285750</xdr:rowOff>
    </xdr:from>
    <xdr:to>
      <xdr:col>12</xdr:col>
      <xdr:colOff>444500</xdr:colOff>
      <xdr:row>20</xdr:row>
      <xdr:rowOff>12700</xdr:rowOff>
    </xdr:to>
    <xdr:cxnSp macro="">
      <xdr:nvCxnSpPr>
        <xdr:cNvPr id="8" name="Łącznik prosty ze strzałką 7">
          <a:extLst>
            <a:ext uri="{FF2B5EF4-FFF2-40B4-BE49-F238E27FC236}">
              <a16:creationId xmlns:a16="http://schemas.microsoft.com/office/drawing/2014/main" id="{B6C4AE07-F4A7-47D2-B756-E5147C709320}"/>
            </a:ext>
          </a:extLst>
        </xdr:cNvPr>
        <xdr:cNvCxnSpPr/>
      </xdr:nvCxnSpPr>
      <xdr:spPr>
        <a:xfrm>
          <a:off x="6051550" y="5467350"/>
          <a:ext cx="0" cy="64135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08B11-4DA9-4922-879F-47AD5E9DD72B}">
  <dimension ref="A1:X36"/>
  <sheetViews>
    <sheetView tabSelected="1" topLeftCell="A5" workbookViewId="0">
      <selection activeCell="W24" sqref="W24"/>
    </sheetView>
  </sheetViews>
  <sheetFormatPr defaultRowHeight="18.75" x14ac:dyDescent="0.25"/>
  <cols>
    <col min="1" max="1" width="7.7109375" style="5" customWidth="1"/>
    <col min="5" max="10" width="4.85546875" customWidth="1"/>
    <col min="13" max="16" width="6.5703125" customWidth="1"/>
    <col min="17" max="17" width="6.85546875" customWidth="1"/>
    <col min="18" max="19" width="6.28515625" customWidth="1"/>
    <col min="20" max="20" width="8.140625" customWidth="1"/>
    <col min="21" max="21" width="6.28515625" customWidth="1"/>
  </cols>
  <sheetData>
    <row r="1" spans="1:21" ht="24" customHeight="1" x14ac:dyDescent="0.25">
      <c r="A1" s="5">
        <v>0</v>
      </c>
      <c r="B1" s="1"/>
      <c r="E1" s="10">
        <v>0</v>
      </c>
      <c r="F1" s="10">
        <v>0</v>
      </c>
      <c r="G1" s="10">
        <v>1</v>
      </c>
      <c r="H1" s="5">
        <v>1</v>
      </c>
      <c r="I1" s="5">
        <v>0</v>
      </c>
      <c r="J1" s="5">
        <v>0</v>
      </c>
      <c r="L1" s="11" t="s">
        <v>6</v>
      </c>
      <c r="M1" s="24" t="s">
        <v>21</v>
      </c>
      <c r="N1" s="24"/>
      <c r="O1" s="24"/>
    </row>
    <row r="2" spans="1:21" ht="24" customHeight="1" x14ac:dyDescent="0.25">
      <c r="A2" s="5">
        <v>0</v>
      </c>
      <c r="B2" s="1"/>
      <c r="E2" s="10">
        <v>0</v>
      </c>
      <c r="F2" s="10">
        <v>1</v>
      </c>
      <c r="G2" s="10">
        <v>0</v>
      </c>
      <c r="H2" s="5">
        <v>0</v>
      </c>
      <c r="I2" s="5">
        <v>1</v>
      </c>
      <c r="J2" s="5">
        <v>0</v>
      </c>
      <c r="M2" s="8">
        <v>0</v>
      </c>
      <c r="N2" s="8">
        <v>0</v>
      </c>
      <c r="O2" s="8">
        <v>1</v>
      </c>
    </row>
    <row r="3" spans="1:21" ht="24" customHeight="1" x14ac:dyDescent="0.25">
      <c r="A3" s="5">
        <v>1</v>
      </c>
      <c r="B3" s="1"/>
      <c r="E3" s="10">
        <v>1</v>
      </c>
      <c r="F3" s="10">
        <v>0</v>
      </c>
      <c r="G3" s="10">
        <v>0</v>
      </c>
      <c r="H3" s="5">
        <v>0</v>
      </c>
      <c r="I3" s="5">
        <v>0</v>
      </c>
      <c r="J3" s="5">
        <v>1</v>
      </c>
      <c r="M3" s="8">
        <v>0</v>
      </c>
      <c r="N3" s="8">
        <v>1</v>
      </c>
      <c r="O3" s="8">
        <v>0</v>
      </c>
    </row>
    <row r="4" spans="1:21" ht="24" customHeight="1" x14ac:dyDescent="0.25">
      <c r="A4" s="5">
        <v>1</v>
      </c>
      <c r="B4" s="1"/>
      <c r="D4" t="s">
        <v>4</v>
      </c>
      <c r="E4" s="5">
        <v>1</v>
      </c>
      <c r="F4" s="5">
        <v>0</v>
      </c>
      <c r="G4" s="5">
        <v>0</v>
      </c>
      <c r="H4" s="5">
        <v>0</v>
      </c>
      <c r="I4" s="5">
        <v>0</v>
      </c>
      <c r="J4" s="5">
        <v>1</v>
      </c>
      <c r="M4" s="8">
        <v>1</v>
      </c>
      <c r="N4" s="8">
        <v>0</v>
      </c>
      <c r="O4" s="8">
        <v>0</v>
      </c>
    </row>
    <row r="5" spans="1:21" ht="24" customHeight="1" x14ac:dyDescent="0.25">
      <c r="A5" s="5">
        <v>0</v>
      </c>
      <c r="B5" s="1"/>
      <c r="E5" s="5">
        <v>0</v>
      </c>
      <c r="F5" s="5">
        <v>1</v>
      </c>
      <c r="G5" s="5">
        <v>0</v>
      </c>
      <c r="H5" s="5">
        <v>0</v>
      </c>
      <c r="I5" s="5">
        <v>1</v>
      </c>
      <c r="J5" s="5">
        <v>0</v>
      </c>
    </row>
    <row r="6" spans="1:21" ht="24" customHeight="1" x14ac:dyDescent="0.25">
      <c r="A6" s="5">
        <v>0</v>
      </c>
      <c r="B6" s="1"/>
      <c r="E6" s="5">
        <v>0</v>
      </c>
      <c r="F6" s="5">
        <v>0</v>
      </c>
      <c r="G6" s="5">
        <v>1</v>
      </c>
      <c r="H6" s="5">
        <v>1</v>
      </c>
      <c r="I6" s="5">
        <v>0</v>
      </c>
      <c r="J6" s="5">
        <v>0</v>
      </c>
      <c r="M6" s="8">
        <f>SUMPRODUCT(E1:G3,$M$2:$O$4)</f>
        <v>3</v>
      </c>
      <c r="N6" s="8">
        <f>SUMPRODUCT(F1:H3,$M$2:$O$4)</f>
        <v>1</v>
      </c>
      <c r="O6" s="8">
        <f>SUMPRODUCT(G1:I3,$M$2:$O$4)</f>
        <v>0</v>
      </c>
      <c r="P6" s="8">
        <f>SUMPRODUCT(H1:J3,$M$2:$O$4)</f>
        <v>1</v>
      </c>
      <c r="Q6" t="s">
        <v>12</v>
      </c>
    </row>
    <row r="7" spans="1:21" ht="24" customHeight="1" x14ac:dyDescent="0.25">
      <c r="A7" s="5">
        <v>0</v>
      </c>
      <c r="B7" s="2"/>
      <c r="M7" s="8">
        <f>SUMPRODUCT(E2:G4,$M$2:$O$4)</f>
        <v>1</v>
      </c>
      <c r="N7" s="8">
        <f t="shared" ref="N7:N9" si="0">SUMPRODUCT(F2:H4,$M$2:$O$4)</f>
        <v>0</v>
      </c>
      <c r="O7" s="8">
        <f t="shared" ref="O7:O9" si="1">SUMPRODUCT(G2:I4,$M$2:$O$4)</f>
        <v>1</v>
      </c>
      <c r="P7" s="8">
        <f t="shared" ref="P7:P9" si="2">SUMPRODUCT(H2:J4,$M$2:$O$4)</f>
        <v>0</v>
      </c>
      <c r="R7" t="s">
        <v>11</v>
      </c>
    </row>
    <row r="8" spans="1:21" ht="24" customHeight="1" x14ac:dyDescent="0.25">
      <c r="A8" s="5">
        <v>1</v>
      </c>
      <c r="B8" s="2"/>
      <c r="E8" s="5">
        <v>0</v>
      </c>
      <c r="F8" s="5">
        <v>0</v>
      </c>
      <c r="G8" s="5">
        <v>0</v>
      </c>
      <c r="H8" s="5">
        <v>1</v>
      </c>
      <c r="I8" s="5">
        <v>1</v>
      </c>
      <c r="J8" s="5">
        <v>0</v>
      </c>
      <c r="M8" s="8">
        <f t="shared" ref="M8:M9" si="3">SUMPRODUCT(E3:G5,$M$2:$O$4)</f>
        <v>0</v>
      </c>
      <c r="N8" s="8">
        <f t="shared" si="0"/>
        <v>1</v>
      </c>
      <c r="O8" s="8">
        <f t="shared" si="1"/>
        <v>0</v>
      </c>
      <c r="P8" s="8">
        <f t="shared" si="2"/>
        <v>1</v>
      </c>
    </row>
    <row r="9" spans="1:21" ht="24" customHeight="1" x14ac:dyDescent="0.25">
      <c r="A9" s="5">
        <v>0</v>
      </c>
      <c r="B9" s="2"/>
      <c r="E9" s="5">
        <v>0</v>
      </c>
      <c r="F9" s="5">
        <v>0</v>
      </c>
      <c r="G9" s="5">
        <v>1</v>
      </c>
      <c r="H9" s="5">
        <v>0</v>
      </c>
      <c r="I9" s="5">
        <v>0</v>
      </c>
      <c r="J9" s="5">
        <v>1</v>
      </c>
      <c r="M9" s="8">
        <f t="shared" si="3"/>
        <v>1</v>
      </c>
      <c r="N9" s="8">
        <f t="shared" si="0"/>
        <v>0</v>
      </c>
      <c r="O9" s="8">
        <f t="shared" si="1"/>
        <v>1</v>
      </c>
      <c r="P9" s="8">
        <f t="shared" si="2"/>
        <v>3</v>
      </c>
    </row>
    <row r="10" spans="1:21" ht="24" customHeight="1" x14ac:dyDescent="0.25">
      <c r="A10" s="5">
        <v>0</v>
      </c>
      <c r="B10" s="2"/>
      <c r="E10" s="5">
        <v>0</v>
      </c>
      <c r="F10" s="5">
        <v>1</v>
      </c>
      <c r="G10" s="5">
        <v>0</v>
      </c>
      <c r="H10" s="5">
        <v>0</v>
      </c>
      <c r="I10" s="5">
        <v>0</v>
      </c>
      <c r="J10" s="5">
        <v>0</v>
      </c>
      <c r="M10" s="16" t="s">
        <v>1</v>
      </c>
      <c r="R10" t="s">
        <v>2</v>
      </c>
    </row>
    <row r="11" spans="1:21" ht="24" customHeight="1" x14ac:dyDescent="0.25">
      <c r="A11" s="5">
        <v>1</v>
      </c>
      <c r="B11" s="2"/>
      <c r="E11" s="5">
        <v>0</v>
      </c>
      <c r="F11" s="5">
        <v>1</v>
      </c>
      <c r="G11" s="5">
        <v>0</v>
      </c>
      <c r="H11" s="5">
        <v>0</v>
      </c>
      <c r="I11" s="5">
        <v>0</v>
      </c>
      <c r="J11" s="5">
        <v>0</v>
      </c>
      <c r="M11" s="9">
        <f>M6-2</f>
        <v>1</v>
      </c>
      <c r="N11" s="9">
        <f t="shared" ref="N11:P11" si="4">N6-2</f>
        <v>-1</v>
      </c>
      <c r="O11" s="9">
        <f t="shared" si="4"/>
        <v>-2</v>
      </c>
      <c r="P11" s="9">
        <f t="shared" si="4"/>
        <v>-1</v>
      </c>
      <c r="R11" s="17">
        <f>IF(M11&gt;0,M11,0)</f>
        <v>1</v>
      </c>
      <c r="S11" s="17">
        <f t="shared" ref="S11:U11" si="5">IF(N11&gt;0,N11,0)</f>
        <v>0</v>
      </c>
      <c r="T11" s="9">
        <f t="shared" si="5"/>
        <v>0</v>
      </c>
      <c r="U11" s="9">
        <f t="shared" si="5"/>
        <v>0</v>
      </c>
    </row>
    <row r="12" spans="1:21" ht="24" customHeight="1" x14ac:dyDescent="0.25">
      <c r="A12" s="5">
        <v>0</v>
      </c>
      <c r="B12" s="2"/>
      <c r="E12" s="5">
        <v>0</v>
      </c>
      <c r="F12" s="5">
        <v>0</v>
      </c>
      <c r="G12" s="5">
        <v>1</v>
      </c>
      <c r="H12" s="5">
        <v>0</v>
      </c>
      <c r="I12" s="5">
        <v>0</v>
      </c>
      <c r="J12" s="5">
        <v>1</v>
      </c>
      <c r="M12" s="9">
        <f t="shared" ref="M12:P12" si="6">M7-2</f>
        <v>-1</v>
      </c>
      <c r="N12" s="9">
        <f t="shared" si="6"/>
        <v>-2</v>
      </c>
      <c r="O12" s="9">
        <f t="shared" si="6"/>
        <v>-1</v>
      </c>
      <c r="P12" s="9">
        <f t="shared" si="6"/>
        <v>-2</v>
      </c>
      <c r="R12" s="17">
        <f t="shared" ref="R12:R14" si="7">IF(M12&gt;0,M12,0)</f>
        <v>0</v>
      </c>
      <c r="S12" s="17">
        <f t="shared" ref="S12:S14" si="8">IF(N12&gt;0,N12,0)</f>
        <v>0</v>
      </c>
      <c r="T12" s="9">
        <f t="shared" ref="T12:T14" si="9">IF(O12&gt;0,O12,0)</f>
        <v>0</v>
      </c>
      <c r="U12" s="9">
        <f t="shared" ref="U12:U14" si="10">IF(P12&gt;0,P12,0)</f>
        <v>0</v>
      </c>
    </row>
    <row r="13" spans="1:21" ht="24" customHeight="1" x14ac:dyDescent="0.25">
      <c r="A13" s="5">
        <v>1</v>
      </c>
      <c r="B13" s="3"/>
      <c r="E13" s="5">
        <v>0</v>
      </c>
      <c r="F13" s="5">
        <v>0</v>
      </c>
      <c r="G13" s="5">
        <v>0</v>
      </c>
      <c r="H13" s="5">
        <v>1</v>
      </c>
      <c r="I13" s="5">
        <v>1</v>
      </c>
      <c r="J13" s="5">
        <v>0</v>
      </c>
      <c r="M13" s="9">
        <f t="shared" ref="M13:P13" si="11">M8-2</f>
        <v>-2</v>
      </c>
      <c r="N13" s="9">
        <f t="shared" si="11"/>
        <v>-1</v>
      </c>
      <c r="O13" s="9">
        <f t="shared" si="11"/>
        <v>-2</v>
      </c>
      <c r="P13" s="9">
        <f t="shared" si="11"/>
        <v>-1</v>
      </c>
      <c r="R13" s="9">
        <f t="shared" si="7"/>
        <v>0</v>
      </c>
      <c r="S13" s="9">
        <f t="shared" si="8"/>
        <v>0</v>
      </c>
      <c r="T13" s="9">
        <f t="shared" si="9"/>
        <v>0</v>
      </c>
      <c r="U13" s="9">
        <f t="shared" si="10"/>
        <v>0</v>
      </c>
    </row>
    <row r="14" spans="1:21" ht="24" customHeight="1" x14ac:dyDescent="0.25">
      <c r="A14" s="5">
        <v>0</v>
      </c>
      <c r="B14" s="3"/>
      <c r="K14" t="s">
        <v>3</v>
      </c>
      <c r="M14" s="9">
        <f t="shared" ref="M14:P14" si="12">M9-2</f>
        <v>-1</v>
      </c>
      <c r="N14" s="9">
        <f t="shared" si="12"/>
        <v>-2</v>
      </c>
      <c r="O14" s="9">
        <f t="shared" si="12"/>
        <v>-1</v>
      </c>
      <c r="P14" s="9">
        <f t="shared" si="12"/>
        <v>1</v>
      </c>
      <c r="R14" s="9">
        <f t="shared" si="7"/>
        <v>0</v>
      </c>
      <c r="S14" s="9">
        <f t="shared" si="8"/>
        <v>0</v>
      </c>
      <c r="T14" s="9">
        <f t="shared" si="9"/>
        <v>0</v>
      </c>
      <c r="U14" s="9">
        <f t="shared" si="10"/>
        <v>1</v>
      </c>
    </row>
    <row r="15" spans="1:21" ht="24" customHeight="1" x14ac:dyDescent="0.25">
      <c r="A15" s="5">
        <v>0</v>
      </c>
      <c r="B15" s="3"/>
    </row>
    <row r="16" spans="1:21" ht="24" customHeight="1" x14ac:dyDescent="0.25">
      <c r="A16" s="5">
        <v>0</v>
      </c>
      <c r="B16" s="3"/>
      <c r="L16">
        <v>2</v>
      </c>
      <c r="M16" t="s">
        <v>7</v>
      </c>
      <c r="P16" t="s">
        <v>8</v>
      </c>
      <c r="U16" t="s">
        <v>23</v>
      </c>
    </row>
    <row r="17" spans="1:24" ht="24" customHeight="1" x14ac:dyDescent="0.25">
      <c r="A17" s="5">
        <v>0</v>
      </c>
      <c r="B17" s="3"/>
      <c r="E17" s="10">
        <v>0</v>
      </c>
      <c r="F17" s="10">
        <v>0</v>
      </c>
      <c r="G17" s="10">
        <v>1</v>
      </c>
      <c r="H17" s="5">
        <v>1</v>
      </c>
      <c r="I17" s="5">
        <v>0</v>
      </c>
      <c r="J17" s="5">
        <v>0</v>
      </c>
      <c r="M17" s="18">
        <v>1</v>
      </c>
      <c r="N17" s="18"/>
      <c r="P17" s="8">
        <v>0.25</v>
      </c>
      <c r="Q17" s="8">
        <v>0</v>
      </c>
    </row>
    <row r="18" spans="1:24" ht="24" customHeight="1" x14ac:dyDescent="0.25">
      <c r="A18" s="5">
        <v>1</v>
      </c>
      <c r="B18" s="3"/>
      <c r="E18" s="10">
        <v>0</v>
      </c>
      <c r="F18" s="10">
        <v>1</v>
      </c>
      <c r="G18" s="10">
        <v>0</v>
      </c>
      <c r="H18" s="5">
        <v>0</v>
      </c>
      <c r="I18" s="5">
        <v>1</v>
      </c>
      <c r="J18" s="5">
        <v>0</v>
      </c>
      <c r="M18" s="18"/>
      <c r="N18" s="18">
        <v>1</v>
      </c>
      <c r="P18" s="8">
        <v>0</v>
      </c>
      <c r="Q18" s="8">
        <v>0.25</v>
      </c>
      <c r="W18" t="s">
        <v>18</v>
      </c>
    </row>
    <row r="19" spans="1:24" ht="24" customHeight="1" x14ac:dyDescent="0.25">
      <c r="A19" s="5">
        <v>1</v>
      </c>
      <c r="B19" s="3"/>
      <c r="E19" s="10">
        <v>1</v>
      </c>
      <c r="F19" s="10">
        <v>0</v>
      </c>
      <c r="G19" s="10">
        <v>0</v>
      </c>
      <c r="H19" s="5">
        <v>0</v>
      </c>
      <c r="I19" s="5">
        <v>0</v>
      </c>
      <c r="J19" s="5">
        <v>1</v>
      </c>
      <c r="M19" s="13"/>
      <c r="N19" s="13"/>
      <c r="S19" t="s">
        <v>22</v>
      </c>
    </row>
    <row r="20" spans="1:24" ht="24" customHeight="1" x14ac:dyDescent="0.25">
      <c r="A20" s="5">
        <v>0</v>
      </c>
      <c r="B20" s="3"/>
      <c r="E20" s="5">
        <v>1</v>
      </c>
      <c r="F20" s="5">
        <v>0</v>
      </c>
      <c r="G20" s="5">
        <v>0</v>
      </c>
      <c r="H20" s="5">
        <v>0</v>
      </c>
      <c r="I20" s="5">
        <v>0</v>
      </c>
      <c r="J20" s="5">
        <v>1</v>
      </c>
      <c r="L20">
        <v>3</v>
      </c>
      <c r="M20" t="s">
        <v>9</v>
      </c>
      <c r="T20" t="s">
        <v>14</v>
      </c>
    </row>
    <row r="21" spans="1:24" ht="24" customHeight="1" x14ac:dyDescent="0.25">
      <c r="A21" s="5">
        <v>0</v>
      </c>
      <c r="B21" s="3"/>
      <c r="E21" s="5">
        <v>0</v>
      </c>
      <c r="F21" s="5">
        <v>1</v>
      </c>
      <c r="G21" s="5">
        <v>0</v>
      </c>
      <c r="H21" s="5">
        <v>0</v>
      </c>
      <c r="I21" s="5">
        <v>1</v>
      </c>
      <c r="J21" s="5">
        <v>0</v>
      </c>
      <c r="M21" s="8">
        <v>1</v>
      </c>
      <c r="O21" s="22">
        <f>M21*P21</f>
        <v>-0.8</v>
      </c>
      <c r="P21" s="21">
        <v>-0.8</v>
      </c>
      <c r="T21" s="1">
        <v>-1.33</v>
      </c>
      <c r="U21">
        <v>1.45</v>
      </c>
    </row>
    <row r="22" spans="1:24" ht="24" customHeight="1" x14ac:dyDescent="0.25">
      <c r="A22" s="5">
        <v>0</v>
      </c>
      <c r="B22" s="3"/>
      <c r="E22" s="5">
        <v>0</v>
      </c>
      <c r="F22" s="5">
        <v>0</v>
      </c>
      <c r="G22" s="5">
        <v>1</v>
      </c>
      <c r="H22" s="5">
        <v>1</v>
      </c>
      <c r="I22" s="5">
        <v>0</v>
      </c>
      <c r="J22" s="5">
        <v>0</v>
      </c>
      <c r="M22" s="8">
        <v>0</v>
      </c>
      <c r="O22" s="22">
        <f t="shared" ref="O22:O24" si="13">M22*P22</f>
        <v>0</v>
      </c>
      <c r="P22" s="21">
        <v>-7.0000000000000007E-2</v>
      </c>
      <c r="R22" t="s">
        <v>13</v>
      </c>
      <c r="T22" s="22">
        <f>R23*(T21)+U21</f>
        <v>0.99780000000000002</v>
      </c>
      <c r="V22" s="19" t="s">
        <v>16</v>
      </c>
      <c r="W22" s="23">
        <f>EXP(T22)/(EXP(T22)+EXP(T24))</f>
        <v>0.73019260712420342</v>
      </c>
      <c r="X22" t="s">
        <v>20</v>
      </c>
    </row>
    <row r="23" spans="1:24" ht="24" customHeight="1" x14ac:dyDescent="0.25">
      <c r="A23" s="5">
        <v>0</v>
      </c>
      <c r="B23" s="3"/>
      <c r="M23" s="8">
        <v>0</v>
      </c>
      <c r="O23" s="22">
        <f t="shared" si="13"/>
        <v>0</v>
      </c>
      <c r="P23" s="21">
        <v>0.2</v>
      </c>
      <c r="R23" s="4">
        <f>MAX(0,P26)</f>
        <v>0.33999999999999997</v>
      </c>
      <c r="T23" s="1">
        <v>1.33</v>
      </c>
      <c r="U23">
        <v>-0.45</v>
      </c>
      <c r="V23" s="6"/>
    </row>
    <row r="24" spans="1:24" ht="24" customHeight="1" x14ac:dyDescent="0.25">
      <c r="A24" s="5">
        <v>1</v>
      </c>
      <c r="B24" s="3"/>
      <c r="M24" s="8">
        <v>1</v>
      </c>
      <c r="O24" s="22">
        <f t="shared" si="13"/>
        <v>0.17</v>
      </c>
      <c r="P24" s="21">
        <v>0.17</v>
      </c>
      <c r="T24" s="22">
        <f>R23*(T23)+U23</f>
        <v>2.1999999999999797E-3</v>
      </c>
      <c r="V24" s="20" t="s">
        <v>15</v>
      </c>
      <c r="W24" s="23">
        <f>EXP(T24)/(EXP(T22)+EXP(T24))</f>
        <v>0.26980739287579653</v>
      </c>
    </row>
    <row r="25" spans="1:24" ht="24" customHeight="1" x14ac:dyDescent="0.25">
      <c r="A25" s="5">
        <v>0</v>
      </c>
      <c r="B25" s="4"/>
      <c r="N25" t="s">
        <v>10</v>
      </c>
      <c r="O25" s="14">
        <f>SUM(O21:O24)</f>
        <v>-0.63</v>
      </c>
      <c r="P25" s="21">
        <v>0.97</v>
      </c>
    </row>
    <row r="26" spans="1:24" ht="24" customHeight="1" x14ac:dyDescent="0.25">
      <c r="A26" s="5">
        <v>1</v>
      </c>
      <c r="B26" s="4"/>
      <c r="P26" s="15">
        <f>O25+P25</f>
        <v>0.33999999999999997</v>
      </c>
    </row>
    <row r="27" spans="1:24" ht="24" customHeight="1" x14ac:dyDescent="0.25">
      <c r="A27" s="5">
        <v>0</v>
      </c>
      <c r="B27" s="4"/>
    </row>
    <row r="28" spans="1:24" ht="24" customHeight="1" x14ac:dyDescent="0.25">
      <c r="A28" s="5">
        <v>0</v>
      </c>
      <c r="B28" s="4"/>
    </row>
    <row r="29" spans="1:24" ht="24" customHeight="1" x14ac:dyDescent="0.25">
      <c r="A29" s="5">
        <v>1</v>
      </c>
      <c r="B29" s="4"/>
    </row>
    <row r="30" spans="1:24" ht="24" customHeight="1" x14ac:dyDescent="0.25">
      <c r="A30" s="5">
        <v>0</v>
      </c>
      <c r="B30" s="4"/>
    </row>
    <row r="31" spans="1:24" ht="24" customHeight="1" x14ac:dyDescent="0.25">
      <c r="A31" s="5">
        <v>0</v>
      </c>
    </row>
    <row r="32" spans="1:24" ht="24" customHeight="1" x14ac:dyDescent="0.25">
      <c r="A32" s="5">
        <v>0</v>
      </c>
    </row>
    <row r="33" spans="1:1" ht="24" customHeight="1" x14ac:dyDescent="0.25">
      <c r="A33" s="5">
        <v>1</v>
      </c>
    </row>
    <row r="34" spans="1:1" ht="24" customHeight="1" x14ac:dyDescent="0.25">
      <c r="A34" s="5">
        <v>1</v>
      </c>
    </row>
    <row r="35" spans="1:1" ht="24" customHeight="1" x14ac:dyDescent="0.25">
      <c r="A35" s="5">
        <v>0</v>
      </c>
    </row>
    <row r="36" spans="1:1" ht="24" customHeight="1" x14ac:dyDescent="0.25">
      <c r="A36" s="5">
        <v>0</v>
      </c>
    </row>
  </sheetData>
  <mergeCells count="1">
    <mergeCell ref="M1:O1"/>
  </mergeCells>
  <conditionalFormatting sqref="A1:A36">
    <cfRule type="cellIs" dxfId="16" priority="15" operator="equal">
      <formula>1</formula>
    </cfRule>
  </conditionalFormatting>
  <conditionalFormatting sqref="E1:J6">
    <cfRule type="cellIs" dxfId="15" priority="9" operator="equal">
      <formula>1</formula>
    </cfRule>
  </conditionalFormatting>
  <conditionalFormatting sqref="E8:J13">
    <cfRule type="cellIs" dxfId="14" priority="2" operator="equal">
      <formula>1</formula>
    </cfRule>
  </conditionalFormatting>
  <conditionalFormatting sqref="E17:J22">
    <cfRule type="cellIs" dxfId="13" priority="1" operator="equal">
      <formula>1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AADC5-4898-4652-9585-04A91F26BB9F}">
  <dimension ref="A1:X36"/>
  <sheetViews>
    <sheetView topLeftCell="A14" workbookViewId="0">
      <selection activeCell="Y24" sqref="Y24"/>
    </sheetView>
  </sheetViews>
  <sheetFormatPr defaultRowHeight="18.75" x14ac:dyDescent="0.25"/>
  <cols>
    <col min="1" max="1" width="7.7109375" style="5" customWidth="1"/>
    <col min="3" max="3" width="4.42578125" customWidth="1"/>
    <col min="4" max="4" width="4.5703125" customWidth="1"/>
    <col min="5" max="10" width="4.85546875" customWidth="1"/>
    <col min="13" max="16" width="6.5703125" customWidth="1"/>
    <col min="17" max="17" width="6.85546875" customWidth="1"/>
    <col min="18" max="19" width="6.28515625" customWidth="1"/>
    <col min="20" max="20" width="8.140625" customWidth="1"/>
    <col min="21" max="21" width="6.28515625" customWidth="1"/>
  </cols>
  <sheetData>
    <row r="1" spans="1:21" ht="24" customHeight="1" x14ac:dyDescent="0.25">
      <c r="A1" s="5">
        <v>0</v>
      </c>
      <c r="B1" s="1"/>
      <c r="E1" s="5">
        <v>0</v>
      </c>
      <c r="F1" s="5">
        <v>0</v>
      </c>
      <c r="G1" s="5">
        <v>0</v>
      </c>
      <c r="H1" s="5">
        <v>1</v>
      </c>
      <c r="I1" s="5">
        <v>1</v>
      </c>
      <c r="J1" s="5">
        <v>0</v>
      </c>
      <c r="L1" s="11" t="s">
        <v>6</v>
      </c>
      <c r="M1" s="24" t="s">
        <v>0</v>
      </c>
      <c r="N1" s="24"/>
      <c r="O1" s="24"/>
    </row>
    <row r="2" spans="1:21" ht="24" customHeight="1" x14ac:dyDescent="0.25">
      <c r="A2" s="5">
        <v>0</v>
      </c>
      <c r="B2" s="1"/>
      <c r="E2" s="5">
        <v>0</v>
      </c>
      <c r="F2" s="5">
        <v>0</v>
      </c>
      <c r="G2" s="5">
        <v>1</v>
      </c>
      <c r="H2" s="5">
        <v>0</v>
      </c>
      <c r="I2" s="5">
        <v>0</v>
      </c>
      <c r="J2" s="5">
        <v>1</v>
      </c>
      <c r="M2" s="8">
        <v>0</v>
      </c>
      <c r="N2" s="8">
        <v>0</v>
      </c>
      <c r="O2" s="8">
        <v>1</v>
      </c>
    </row>
    <row r="3" spans="1:21" ht="24" customHeight="1" x14ac:dyDescent="0.25">
      <c r="A3" s="5">
        <v>1</v>
      </c>
      <c r="B3" s="1"/>
      <c r="E3" s="5">
        <v>0</v>
      </c>
      <c r="F3" s="5">
        <v>1</v>
      </c>
      <c r="G3" s="5">
        <v>0</v>
      </c>
      <c r="H3" s="5">
        <v>0</v>
      </c>
      <c r="I3" s="5">
        <v>0</v>
      </c>
      <c r="J3" s="5">
        <v>0</v>
      </c>
      <c r="M3" s="8">
        <v>0</v>
      </c>
      <c r="N3" s="8">
        <v>1</v>
      </c>
      <c r="O3" s="8">
        <v>0</v>
      </c>
    </row>
    <row r="4" spans="1:21" ht="24" customHeight="1" x14ac:dyDescent="0.25">
      <c r="A4" s="5">
        <v>1</v>
      </c>
      <c r="B4" s="1"/>
      <c r="D4" t="s">
        <v>4</v>
      </c>
      <c r="E4" s="5">
        <v>0</v>
      </c>
      <c r="F4" s="5">
        <v>1</v>
      </c>
      <c r="G4" s="5">
        <v>0</v>
      </c>
      <c r="H4" s="5">
        <v>0</v>
      </c>
      <c r="I4" s="5">
        <v>0</v>
      </c>
      <c r="J4" s="5">
        <v>0</v>
      </c>
      <c r="M4" s="8">
        <v>1</v>
      </c>
      <c r="N4" s="8">
        <v>0</v>
      </c>
      <c r="O4" s="8">
        <v>0</v>
      </c>
    </row>
    <row r="5" spans="1:21" ht="24" customHeight="1" x14ac:dyDescent="0.25">
      <c r="A5" s="5">
        <v>0</v>
      </c>
      <c r="B5" s="1"/>
      <c r="E5" s="5">
        <v>0</v>
      </c>
      <c r="F5" s="5">
        <v>0</v>
      </c>
      <c r="G5" s="5">
        <v>1</v>
      </c>
      <c r="H5" s="5">
        <v>0</v>
      </c>
      <c r="I5" s="5">
        <v>0</v>
      </c>
      <c r="J5" s="5">
        <v>1</v>
      </c>
    </row>
    <row r="6" spans="1:21" ht="24" customHeight="1" x14ac:dyDescent="0.25">
      <c r="A6" s="5">
        <v>0</v>
      </c>
      <c r="B6" s="1"/>
      <c r="E6" s="5">
        <v>0</v>
      </c>
      <c r="F6" s="5">
        <v>0</v>
      </c>
      <c r="G6" s="5">
        <v>0</v>
      </c>
      <c r="H6" s="5">
        <v>1</v>
      </c>
      <c r="I6" s="5">
        <v>1</v>
      </c>
      <c r="J6" s="5">
        <v>0</v>
      </c>
      <c r="M6" s="8">
        <f>SUMPRODUCT(E1:G3,$M$2:$O$4)</f>
        <v>0</v>
      </c>
      <c r="N6" s="8">
        <f t="shared" ref="N6:P9" si="0">SUMPRODUCT(F1:H3,$M$2:$O$4)</f>
        <v>3</v>
      </c>
      <c r="O6" s="8">
        <f t="shared" si="0"/>
        <v>1</v>
      </c>
      <c r="P6" s="8">
        <f t="shared" si="0"/>
        <v>0</v>
      </c>
      <c r="Q6" t="s">
        <v>12</v>
      </c>
    </row>
    <row r="7" spans="1:21" ht="24" customHeight="1" x14ac:dyDescent="0.25">
      <c r="A7" s="5">
        <v>0</v>
      </c>
      <c r="B7" s="2"/>
      <c r="M7" s="8">
        <f t="shared" ref="M7:M9" si="1">SUMPRODUCT(E2:G4,$M$2:$O$4)</f>
        <v>2</v>
      </c>
      <c r="N7" s="8">
        <f t="shared" si="0"/>
        <v>1</v>
      </c>
      <c r="O7" s="8">
        <f t="shared" si="0"/>
        <v>0</v>
      </c>
      <c r="P7" s="8">
        <f t="shared" si="0"/>
        <v>1</v>
      </c>
      <c r="R7" t="s">
        <v>11</v>
      </c>
    </row>
    <row r="8" spans="1:21" ht="24" customHeight="1" x14ac:dyDescent="0.25">
      <c r="A8" s="5">
        <v>1</v>
      </c>
      <c r="B8" s="2"/>
      <c r="E8" s="5">
        <v>0</v>
      </c>
      <c r="F8" s="5">
        <v>0</v>
      </c>
      <c r="G8" s="5">
        <v>0</v>
      </c>
      <c r="H8" s="5">
        <v>1</v>
      </c>
      <c r="I8" s="5">
        <v>1</v>
      </c>
      <c r="J8" s="5">
        <v>0</v>
      </c>
      <c r="M8" s="8">
        <f t="shared" si="1"/>
        <v>1</v>
      </c>
      <c r="N8" s="8">
        <f t="shared" si="0"/>
        <v>0</v>
      </c>
      <c r="O8" s="8">
        <f t="shared" si="0"/>
        <v>1</v>
      </c>
      <c r="P8" s="8">
        <f t="shared" si="0"/>
        <v>0</v>
      </c>
    </row>
    <row r="9" spans="1:21" ht="24" customHeight="1" x14ac:dyDescent="0.25">
      <c r="A9" s="5">
        <v>0</v>
      </c>
      <c r="B9" s="2"/>
      <c r="E9" s="5">
        <v>0</v>
      </c>
      <c r="F9" s="5">
        <v>0</v>
      </c>
      <c r="G9" s="5">
        <v>1</v>
      </c>
      <c r="H9" s="5">
        <v>0</v>
      </c>
      <c r="I9" s="5">
        <v>0</v>
      </c>
      <c r="J9" s="5">
        <v>1</v>
      </c>
      <c r="M9" s="8">
        <f t="shared" si="1"/>
        <v>0</v>
      </c>
      <c r="N9" s="8">
        <f t="shared" si="0"/>
        <v>1</v>
      </c>
      <c r="O9" s="8">
        <f t="shared" si="0"/>
        <v>0</v>
      </c>
      <c r="P9" s="8">
        <f t="shared" si="0"/>
        <v>1</v>
      </c>
    </row>
    <row r="10" spans="1:21" ht="24" customHeight="1" x14ac:dyDescent="0.25">
      <c r="A10" s="5">
        <v>0</v>
      </c>
      <c r="B10" s="2"/>
      <c r="E10" s="5">
        <v>0</v>
      </c>
      <c r="F10" s="5">
        <v>1</v>
      </c>
      <c r="G10" s="5">
        <v>0</v>
      </c>
      <c r="H10" s="5">
        <v>0</v>
      </c>
      <c r="I10" s="5">
        <v>0</v>
      </c>
      <c r="J10" s="5">
        <v>0</v>
      </c>
      <c r="M10" s="16" t="s">
        <v>1</v>
      </c>
      <c r="R10" t="s">
        <v>2</v>
      </c>
    </row>
    <row r="11" spans="1:21" ht="24" customHeight="1" x14ac:dyDescent="0.25">
      <c r="A11" s="5">
        <v>1</v>
      </c>
      <c r="B11" s="2"/>
      <c r="E11" s="5">
        <v>0</v>
      </c>
      <c r="F11" s="5">
        <v>1</v>
      </c>
      <c r="G11" s="5">
        <v>0</v>
      </c>
      <c r="H11" s="5">
        <v>0</v>
      </c>
      <c r="I11" s="5">
        <v>0</v>
      </c>
      <c r="J11" s="5">
        <v>0</v>
      </c>
      <c r="M11" s="9">
        <f>M6-2</f>
        <v>-2</v>
      </c>
      <c r="N11" s="9">
        <f t="shared" ref="N11:P11" si="2">N6-2</f>
        <v>1</v>
      </c>
      <c r="O11" s="9">
        <f t="shared" si="2"/>
        <v>-1</v>
      </c>
      <c r="P11" s="9">
        <f t="shared" si="2"/>
        <v>-2</v>
      </c>
      <c r="R11" s="17">
        <f>IF(M11&gt;0,M11,0)</f>
        <v>0</v>
      </c>
      <c r="S11" s="17">
        <f t="shared" ref="S11:U14" si="3">IF(N11&gt;0,N11,0)</f>
        <v>1</v>
      </c>
      <c r="T11" s="9">
        <f t="shared" si="3"/>
        <v>0</v>
      </c>
      <c r="U11" s="9">
        <f t="shared" si="3"/>
        <v>0</v>
      </c>
    </row>
    <row r="12" spans="1:21" ht="24" customHeight="1" x14ac:dyDescent="0.25">
      <c r="A12" s="5">
        <v>0</v>
      </c>
      <c r="B12" s="2"/>
      <c r="E12" s="5">
        <v>0</v>
      </c>
      <c r="F12" s="5">
        <v>0</v>
      </c>
      <c r="G12" s="5">
        <v>1</v>
      </c>
      <c r="H12" s="5">
        <v>0</v>
      </c>
      <c r="I12" s="5">
        <v>0</v>
      </c>
      <c r="J12" s="5">
        <v>1</v>
      </c>
      <c r="M12" s="9">
        <f t="shared" ref="M12:P14" si="4">M7-2</f>
        <v>0</v>
      </c>
      <c r="N12" s="9">
        <f t="shared" si="4"/>
        <v>-1</v>
      </c>
      <c r="O12" s="9">
        <f t="shared" si="4"/>
        <v>-2</v>
      </c>
      <c r="P12" s="9">
        <f t="shared" si="4"/>
        <v>-1</v>
      </c>
      <c r="R12" s="17">
        <f t="shared" ref="R12:R14" si="5">IF(M12&gt;0,M12,0)</f>
        <v>0</v>
      </c>
      <c r="S12" s="17">
        <f t="shared" si="3"/>
        <v>0</v>
      </c>
      <c r="T12" s="9">
        <f t="shared" si="3"/>
        <v>0</v>
      </c>
      <c r="U12" s="9">
        <f t="shared" si="3"/>
        <v>0</v>
      </c>
    </row>
    <row r="13" spans="1:21" ht="24" customHeight="1" x14ac:dyDescent="0.25">
      <c r="A13" s="5">
        <v>1</v>
      </c>
      <c r="B13" s="3"/>
      <c r="E13" s="5">
        <v>0</v>
      </c>
      <c r="F13" s="5">
        <v>0</v>
      </c>
      <c r="G13" s="5">
        <v>0</v>
      </c>
      <c r="H13" s="5">
        <v>1</v>
      </c>
      <c r="I13" s="5">
        <v>1</v>
      </c>
      <c r="J13" s="5">
        <v>0</v>
      </c>
      <c r="M13" s="9">
        <f t="shared" si="4"/>
        <v>-1</v>
      </c>
      <c r="N13" s="9">
        <f t="shared" si="4"/>
        <v>-2</v>
      </c>
      <c r="O13" s="9">
        <f t="shared" si="4"/>
        <v>-1</v>
      </c>
      <c r="P13" s="9">
        <f t="shared" si="4"/>
        <v>-2</v>
      </c>
      <c r="R13" s="9">
        <f t="shared" si="5"/>
        <v>0</v>
      </c>
      <c r="S13" s="9">
        <f t="shared" si="3"/>
        <v>0</v>
      </c>
      <c r="T13" s="9">
        <f t="shared" si="3"/>
        <v>0</v>
      </c>
      <c r="U13" s="9">
        <f t="shared" si="3"/>
        <v>0</v>
      </c>
    </row>
    <row r="14" spans="1:21" ht="24" customHeight="1" x14ac:dyDescent="0.25">
      <c r="A14" s="5">
        <v>0</v>
      </c>
      <c r="B14" s="3"/>
      <c r="K14" t="s">
        <v>3</v>
      </c>
      <c r="M14" s="9">
        <f t="shared" si="4"/>
        <v>-2</v>
      </c>
      <c r="N14" s="9">
        <f t="shared" si="4"/>
        <v>-1</v>
      </c>
      <c r="O14" s="9">
        <f t="shared" si="4"/>
        <v>-2</v>
      </c>
      <c r="P14" s="9">
        <f t="shared" si="4"/>
        <v>-1</v>
      </c>
      <c r="R14" s="9">
        <f t="shared" si="5"/>
        <v>0</v>
      </c>
      <c r="S14" s="9">
        <f t="shared" si="3"/>
        <v>0</v>
      </c>
      <c r="T14" s="9">
        <f t="shared" si="3"/>
        <v>0</v>
      </c>
      <c r="U14" s="9">
        <f t="shared" si="3"/>
        <v>0</v>
      </c>
    </row>
    <row r="15" spans="1:21" ht="24" customHeight="1" x14ac:dyDescent="0.25">
      <c r="A15" s="5">
        <v>0</v>
      </c>
      <c r="B15" s="3"/>
    </row>
    <row r="16" spans="1:21" ht="24" customHeight="1" x14ac:dyDescent="0.25">
      <c r="A16" s="5">
        <v>0</v>
      </c>
      <c r="B16" s="3"/>
      <c r="L16">
        <v>2</v>
      </c>
      <c r="M16" t="s">
        <v>7</v>
      </c>
      <c r="P16" t="s">
        <v>8</v>
      </c>
    </row>
    <row r="17" spans="1:24" ht="24" customHeight="1" x14ac:dyDescent="0.25">
      <c r="A17" s="5">
        <v>0</v>
      </c>
      <c r="B17" s="3"/>
      <c r="E17" s="5">
        <v>0</v>
      </c>
      <c r="F17" s="5">
        <v>0</v>
      </c>
      <c r="G17" s="5">
        <v>0</v>
      </c>
      <c r="H17" s="5">
        <v>1</v>
      </c>
      <c r="I17" s="5">
        <v>1</v>
      </c>
      <c r="J17" s="5">
        <v>0</v>
      </c>
      <c r="M17" s="18">
        <v>1</v>
      </c>
      <c r="N17" s="18"/>
      <c r="P17" s="8">
        <v>0.25</v>
      </c>
      <c r="Q17" s="8">
        <v>0</v>
      </c>
    </row>
    <row r="18" spans="1:24" ht="24" customHeight="1" x14ac:dyDescent="0.25">
      <c r="A18" s="5">
        <v>1</v>
      </c>
      <c r="B18" s="3"/>
      <c r="E18" s="5">
        <v>0</v>
      </c>
      <c r="F18" s="5">
        <v>0</v>
      </c>
      <c r="G18" s="5">
        <v>1</v>
      </c>
      <c r="H18" s="5">
        <v>0</v>
      </c>
      <c r="I18" s="5">
        <v>0</v>
      </c>
      <c r="J18" s="5">
        <v>1</v>
      </c>
      <c r="M18" s="18"/>
      <c r="N18" s="18">
        <v>0</v>
      </c>
      <c r="P18" s="8">
        <v>0</v>
      </c>
      <c r="Q18" s="8">
        <v>0</v>
      </c>
    </row>
    <row r="19" spans="1:24" ht="24" customHeight="1" x14ac:dyDescent="0.25">
      <c r="A19" s="5">
        <v>1</v>
      </c>
      <c r="B19" s="3"/>
      <c r="E19" s="5">
        <v>0</v>
      </c>
      <c r="F19" s="5">
        <v>1</v>
      </c>
      <c r="G19" s="5">
        <v>0</v>
      </c>
      <c r="H19" s="5">
        <v>0</v>
      </c>
      <c r="I19" s="5">
        <v>0</v>
      </c>
      <c r="J19" s="5">
        <v>0</v>
      </c>
      <c r="M19" s="13"/>
      <c r="N19" s="13"/>
    </row>
    <row r="20" spans="1:24" ht="24" customHeight="1" x14ac:dyDescent="0.25">
      <c r="A20" s="5">
        <v>0</v>
      </c>
      <c r="B20" s="3"/>
      <c r="E20" s="5">
        <v>0</v>
      </c>
      <c r="F20" s="5">
        <v>1</v>
      </c>
      <c r="G20" s="5">
        <v>0</v>
      </c>
      <c r="H20" s="5">
        <v>0</v>
      </c>
      <c r="I20" s="5">
        <v>0</v>
      </c>
      <c r="J20" s="5">
        <v>0</v>
      </c>
      <c r="L20">
        <v>3</v>
      </c>
      <c r="M20" t="s">
        <v>9</v>
      </c>
      <c r="T20" t="s">
        <v>14</v>
      </c>
    </row>
    <row r="21" spans="1:24" ht="24" customHeight="1" x14ac:dyDescent="0.25">
      <c r="A21" s="5">
        <v>0</v>
      </c>
      <c r="B21" s="3"/>
      <c r="E21" s="5">
        <v>0</v>
      </c>
      <c r="F21" s="5">
        <v>0</v>
      </c>
      <c r="G21" s="5">
        <v>1</v>
      </c>
      <c r="H21" s="5">
        <v>0</v>
      </c>
      <c r="I21" s="5">
        <v>0</v>
      </c>
      <c r="J21" s="5">
        <v>1</v>
      </c>
      <c r="M21" s="8">
        <v>1</v>
      </c>
      <c r="O21" s="12">
        <f>M21*P21</f>
        <v>-0.8</v>
      </c>
      <c r="P21">
        <v>-0.8</v>
      </c>
      <c r="T21">
        <v>-1.33</v>
      </c>
      <c r="U21">
        <v>1.45</v>
      </c>
    </row>
    <row r="22" spans="1:24" ht="24" customHeight="1" x14ac:dyDescent="0.25">
      <c r="A22" s="5">
        <v>0</v>
      </c>
      <c r="B22" s="3"/>
      <c r="E22" s="5">
        <v>0</v>
      </c>
      <c r="F22" s="5">
        <v>0</v>
      </c>
      <c r="G22" s="5">
        <v>0</v>
      </c>
      <c r="H22" s="5">
        <v>1</v>
      </c>
      <c r="I22" s="5">
        <v>1</v>
      </c>
      <c r="J22" s="5">
        <v>0</v>
      </c>
      <c r="M22" s="8">
        <v>0</v>
      </c>
      <c r="O22" s="12">
        <f t="shared" ref="O22:O24" si="6">M22*P22</f>
        <v>0</v>
      </c>
      <c r="P22">
        <v>-7.0000000000000007E-2</v>
      </c>
      <c r="R22" t="s">
        <v>13</v>
      </c>
      <c r="T22">
        <f>R23*(T21)+U21</f>
        <v>1.2239</v>
      </c>
      <c r="V22" s="19" t="s">
        <v>16</v>
      </c>
      <c r="W22" s="1">
        <f>EXP(T22)/(EXP(T22)+EXP(T24))</f>
        <v>0.80965962091595656</v>
      </c>
      <c r="X22" t="s">
        <v>20</v>
      </c>
    </row>
    <row r="23" spans="1:24" ht="24" customHeight="1" x14ac:dyDescent="0.25">
      <c r="A23" s="5">
        <v>0</v>
      </c>
      <c r="B23" s="3"/>
      <c r="M23" s="8">
        <v>0</v>
      </c>
      <c r="O23" s="12">
        <f t="shared" si="6"/>
        <v>0</v>
      </c>
      <c r="P23">
        <v>0.2</v>
      </c>
      <c r="R23">
        <f>MAX(0,P26)</f>
        <v>0.16999999999999993</v>
      </c>
      <c r="T23">
        <v>1.33</v>
      </c>
      <c r="U23">
        <v>-0.45</v>
      </c>
      <c r="V23" s="6"/>
    </row>
    <row r="24" spans="1:24" ht="24" customHeight="1" x14ac:dyDescent="0.25">
      <c r="A24" s="5">
        <v>1</v>
      </c>
      <c r="B24" s="3"/>
      <c r="M24" s="8">
        <v>0</v>
      </c>
      <c r="O24" s="12">
        <f t="shared" si="6"/>
        <v>0</v>
      </c>
      <c r="P24">
        <v>0.17</v>
      </c>
      <c r="T24">
        <f>R23*(T23)+U23</f>
        <v>-0.2239000000000001</v>
      </c>
      <c r="V24" s="20" t="s">
        <v>15</v>
      </c>
      <c r="W24">
        <f>EXP(T24)/(EXP(T22)+EXP(T24))</f>
        <v>0.19034037908404344</v>
      </c>
    </row>
    <row r="25" spans="1:24" ht="24" customHeight="1" x14ac:dyDescent="0.25">
      <c r="A25" s="5">
        <v>0</v>
      </c>
      <c r="B25" s="4"/>
      <c r="N25" t="s">
        <v>10</v>
      </c>
      <c r="O25" s="14">
        <f>SUM(O21:O24)</f>
        <v>-0.8</v>
      </c>
      <c r="P25">
        <v>0.97</v>
      </c>
    </row>
    <row r="26" spans="1:24" ht="24" customHeight="1" x14ac:dyDescent="0.25">
      <c r="A26" s="5">
        <v>1</v>
      </c>
      <c r="B26" s="4"/>
      <c r="P26" s="15">
        <f>O25+P25</f>
        <v>0.16999999999999993</v>
      </c>
    </row>
    <row r="27" spans="1:24" ht="24" customHeight="1" x14ac:dyDescent="0.25">
      <c r="A27" s="5">
        <v>0</v>
      </c>
      <c r="B27" s="4"/>
    </row>
    <row r="28" spans="1:24" ht="24" customHeight="1" x14ac:dyDescent="0.25">
      <c r="A28" s="5">
        <v>0</v>
      </c>
      <c r="B28" s="4"/>
    </row>
    <row r="29" spans="1:24" ht="24" customHeight="1" x14ac:dyDescent="0.25">
      <c r="A29" s="5">
        <v>1</v>
      </c>
      <c r="B29" s="4"/>
    </row>
    <row r="30" spans="1:24" ht="24" customHeight="1" x14ac:dyDescent="0.25">
      <c r="A30" s="5">
        <v>0</v>
      </c>
      <c r="B30" s="4"/>
    </row>
    <row r="31" spans="1:24" ht="24" customHeight="1" x14ac:dyDescent="0.25">
      <c r="A31" s="5">
        <v>0</v>
      </c>
    </row>
    <row r="32" spans="1:24" ht="24" customHeight="1" x14ac:dyDescent="0.25">
      <c r="A32" s="5">
        <v>0</v>
      </c>
    </row>
    <row r="33" spans="1:1" ht="24" customHeight="1" x14ac:dyDescent="0.25">
      <c r="A33" s="5">
        <v>1</v>
      </c>
    </row>
    <row r="34" spans="1:1" ht="24" customHeight="1" x14ac:dyDescent="0.25">
      <c r="A34" s="5">
        <v>1</v>
      </c>
    </row>
    <row r="35" spans="1:1" ht="24" customHeight="1" x14ac:dyDescent="0.25">
      <c r="A35" s="5">
        <v>0</v>
      </c>
    </row>
    <row r="36" spans="1:1" ht="24" customHeight="1" x14ac:dyDescent="0.25">
      <c r="A36" s="5">
        <v>0</v>
      </c>
    </row>
  </sheetData>
  <mergeCells count="1">
    <mergeCell ref="M1:O1"/>
  </mergeCells>
  <conditionalFormatting sqref="A1:A36">
    <cfRule type="cellIs" dxfId="12" priority="6" operator="equal">
      <formula>1</formula>
    </cfRule>
  </conditionalFormatting>
  <conditionalFormatting sqref="E8:J13">
    <cfRule type="cellIs" dxfId="11" priority="4" operator="equal">
      <formula>1</formula>
    </cfRule>
  </conditionalFormatting>
  <conditionalFormatting sqref="E1:J6">
    <cfRule type="cellIs" dxfId="10" priority="2" operator="equal">
      <formula>1</formula>
    </cfRule>
  </conditionalFormatting>
  <conditionalFormatting sqref="E17:J22">
    <cfRule type="cellIs" dxfId="9" priority="1" operator="equal">
      <formula>1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06625-40CD-41A1-A36E-4331D3AB935A}">
  <dimension ref="A1:B36"/>
  <sheetViews>
    <sheetView workbookViewId="0">
      <selection activeCell="M8" sqref="M8"/>
    </sheetView>
  </sheetViews>
  <sheetFormatPr defaultRowHeight="18.75" x14ac:dyDescent="0.25"/>
  <cols>
    <col min="1" max="1" width="7.7109375" style="5" customWidth="1"/>
  </cols>
  <sheetData>
    <row r="1" spans="1:2" ht="24" customHeight="1" x14ac:dyDescent="0.25">
      <c r="A1" s="5">
        <v>0</v>
      </c>
      <c r="B1" s="1"/>
    </row>
    <row r="2" spans="1:2" ht="24" customHeight="1" x14ac:dyDescent="0.25">
      <c r="A2" s="5">
        <v>0</v>
      </c>
      <c r="B2" s="1"/>
    </row>
    <row r="3" spans="1:2" ht="24" customHeight="1" x14ac:dyDescent="0.25">
      <c r="A3" s="5">
        <v>1</v>
      </c>
      <c r="B3" s="1"/>
    </row>
    <row r="4" spans="1:2" ht="24" customHeight="1" x14ac:dyDescent="0.25">
      <c r="A4" s="5">
        <v>1</v>
      </c>
      <c r="B4" s="1"/>
    </row>
    <row r="5" spans="1:2" ht="24" customHeight="1" x14ac:dyDescent="0.25">
      <c r="A5" s="5">
        <v>0</v>
      </c>
      <c r="B5" s="1"/>
    </row>
    <row r="6" spans="1:2" ht="24" customHeight="1" x14ac:dyDescent="0.25">
      <c r="A6" s="5">
        <v>0</v>
      </c>
      <c r="B6" s="1"/>
    </row>
    <row r="7" spans="1:2" ht="24" customHeight="1" x14ac:dyDescent="0.25">
      <c r="A7" s="5">
        <v>0</v>
      </c>
      <c r="B7" s="2"/>
    </row>
    <row r="8" spans="1:2" ht="24" customHeight="1" x14ac:dyDescent="0.25">
      <c r="A8" s="5">
        <v>1</v>
      </c>
      <c r="B8" s="2"/>
    </row>
    <row r="9" spans="1:2" ht="24" customHeight="1" x14ac:dyDescent="0.25">
      <c r="A9" s="5">
        <v>0</v>
      </c>
      <c r="B9" s="2"/>
    </row>
    <row r="10" spans="1:2" ht="24" customHeight="1" x14ac:dyDescent="0.25">
      <c r="A10" s="5">
        <v>0</v>
      </c>
      <c r="B10" s="2"/>
    </row>
    <row r="11" spans="1:2" ht="24" customHeight="1" x14ac:dyDescent="0.25">
      <c r="A11" s="5">
        <v>1</v>
      </c>
      <c r="B11" s="2"/>
    </row>
    <row r="12" spans="1:2" ht="24" customHeight="1" x14ac:dyDescent="0.25">
      <c r="A12" s="5">
        <v>0</v>
      </c>
      <c r="B12" s="2"/>
    </row>
    <row r="13" spans="1:2" ht="24" customHeight="1" x14ac:dyDescent="0.25">
      <c r="A13" s="5">
        <v>1</v>
      </c>
      <c r="B13" s="3"/>
    </row>
    <row r="14" spans="1:2" ht="24" customHeight="1" x14ac:dyDescent="0.25">
      <c r="A14" s="5">
        <v>0</v>
      </c>
      <c r="B14" s="3"/>
    </row>
    <row r="15" spans="1:2" ht="24" customHeight="1" x14ac:dyDescent="0.25">
      <c r="A15" s="5">
        <v>0</v>
      </c>
      <c r="B15" s="3"/>
    </row>
    <row r="16" spans="1:2" ht="24" customHeight="1" x14ac:dyDescent="0.25">
      <c r="A16" s="5">
        <v>0</v>
      </c>
      <c r="B16" s="3"/>
    </row>
    <row r="17" spans="1:2" ht="24" customHeight="1" x14ac:dyDescent="0.25">
      <c r="A17" s="5">
        <v>0</v>
      </c>
      <c r="B17" s="3"/>
    </row>
    <row r="18" spans="1:2" ht="24" customHeight="1" x14ac:dyDescent="0.25">
      <c r="A18" s="5">
        <v>1</v>
      </c>
      <c r="B18" s="3"/>
    </row>
    <row r="19" spans="1:2" ht="24" customHeight="1" x14ac:dyDescent="0.25">
      <c r="A19" s="5">
        <v>1</v>
      </c>
      <c r="B19" s="3"/>
    </row>
    <row r="20" spans="1:2" ht="24" customHeight="1" x14ac:dyDescent="0.25">
      <c r="A20" s="5">
        <v>0</v>
      </c>
      <c r="B20" s="3"/>
    </row>
    <row r="21" spans="1:2" ht="24" customHeight="1" x14ac:dyDescent="0.25">
      <c r="A21" s="5">
        <v>0</v>
      </c>
      <c r="B21" s="3"/>
    </row>
    <row r="22" spans="1:2" ht="24" customHeight="1" x14ac:dyDescent="0.25">
      <c r="A22" s="5">
        <v>0</v>
      </c>
      <c r="B22" s="3"/>
    </row>
    <row r="23" spans="1:2" ht="24" customHeight="1" x14ac:dyDescent="0.25">
      <c r="A23" s="5">
        <v>0</v>
      </c>
      <c r="B23" s="3"/>
    </row>
    <row r="24" spans="1:2" ht="24" customHeight="1" x14ac:dyDescent="0.25">
      <c r="A24" s="5">
        <v>1</v>
      </c>
      <c r="B24" s="3"/>
    </row>
    <row r="25" spans="1:2" ht="24" customHeight="1" x14ac:dyDescent="0.25">
      <c r="A25" s="5">
        <v>0</v>
      </c>
      <c r="B25" s="4"/>
    </row>
    <row r="26" spans="1:2" ht="24" customHeight="1" x14ac:dyDescent="0.25">
      <c r="A26" s="5">
        <v>1</v>
      </c>
      <c r="B26" s="4"/>
    </row>
    <row r="27" spans="1:2" ht="24" customHeight="1" x14ac:dyDescent="0.25">
      <c r="A27" s="5">
        <v>0</v>
      </c>
      <c r="B27" s="4"/>
    </row>
    <row r="28" spans="1:2" ht="24" customHeight="1" x14ac:dyDescent="0.25">
      <c r="A28" s="5">
        <v>0</v>
      </c>
      <c r="B28" s="4"/>
    </row>
    <row r="29" spans="1:2" ht="24" customHeight="1" x14ac:dyDescent="0.25">
      <c r="A29" s="5">
        <v>1</v>
      </c>
      <c r="B29" s="4"/>
    </row>
    <row r="30" spans="1:2" ht="24" customHeight="1" x14ac:dyDescent="0.25">
      <c r="A30" s="5">
        <v>0</v>
      </c>
      <c r="B30" s="4"/>
    </row>
    <row r="31" spans="1:2" ht="24" customHeight="1" x14ac:dyDescent="0.25">
      <c r="A31" s="5">
        <v>0</v>
      </c>
    </row>
    <row r="32" spans="1:2" ht="24" customHeight="1" x14ac:dyDescent="0.25">
      <c r="A32" s="5">
        <v>0</v>
      </c>
    </row>
    <row r="33" spans="1:1" ht="24" customHeight="1" x14ac:dyDescent="0.25">
      <c r="A33" s="5">
        <v>1</v>
      </c>
    </row>
    <row r="34" spans="1:1" ht="24" customHeight="1" x14ac:dyDescent="0.25">
      <c r="A34" s="5">
        <v>1</v>
      </c>
    </row>
    <row r="35" spans="1:1" ht="24" customHeight="1" x14ac:dyDescent="0.25">
      <c r="A35" s="5">
        <v>0</v>
      </c>
    </row>
    <row r="36" spans="1:1" ht="24" customHeight="1" x14ac:dyDescent="0.25">
      <c r="A36" s="5">
        <v>0</v>
      </c>
    </row>
  </sheetData>
  <conditionalFormatting sqref="A1:A36">
    <cfRule type="cellIs" dxfId="8" priority="1" operator="equal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2C9C-A958-460F-93AB-9D3A3FD37B10}">
  <dimension ref="A1:X37"/>
  <sheetViews>
    <sheetView topLeftCell="C11" workbookViewId="0">
      <selection activeCell="T22" sqref="T22"/>
    </sheetView>
  </sheetViews>
  <sheetFormatPr defaultRowHeight="18.75" x14ac:dyDescent="0.25"/>
  <cols>
    <col min="1" max="1" width="7.7109375" style="5" customWidth="1"/>
    <col min="5" max="10" width="4.85546875" customWidth="1"/>
    <col min="13" max="16" width="6.5703125" customWidth="1"/>
    <col min="17" max="17" width="6.85546875" customWidth="1"/>
    <col min="18" max="21" width="6.28515625" customWidth="1"/>
  </cols>
  <sheetData>
    <row r="1" spans="1:21" ht="24" customHeight="1" x14ac:dyDescent="0.25">
      <c r="A1" s="5">
        <v>1</v>
      </c>
      <c r="B1" s="1"/>
      <c r="E1" s="5">
        <v>1</v>
      </c>
      <c r="F1" s="5">
        <v>0</v>
      </c>
      <c r="G1" s="5">
        <v>0</v>
      </c>
      <c r="H1" s="5">
        <v>0</v>
      </c>
      <c r="I1" s="5">
        <v>0</v>
      </c>
      <c r="J1" s="5">
        <v>1</v>
      </c>
      <c r="L1" s="11" t="s">
        <v>6</v>
      </c>
      <c r="M1" s="24" t="s">
        <v>0</v>
      </c>
      <c r="N1" s="24"/>
      <c r="O1" s="24"/>
    </row>
    <row r="2" spans="1:21" ht="24" customHeight="1" x14ac:dyDescent="0.25">
      <c r="A2" s="5">
        <v>0</v>
      </c>
      <c r="B2" s="1"/>
      <c r="E2" s="5">
        <v>0</v>
      </c>
      <c r="F2" s="5">
        <v>1</v>
      </c>
      <c r="G2" s="5">
        <v>0</v>
      </c>
      <c r="H2" s="5">
        <v>0</v>
      </c>
      <c r="I2" s="5">
        <v>1</v>
      </c>
      <c r="J2" s="5">
        <v>0</v>
      </c>
      <c r="M2" s="8">
        <v>0</v>
      </c>
      <c r="N2" s="8">
        <v>0</v>
      </c>
      <c r="O2" s="8">
        <v>1</v>
      </c>
    </row>
    <row r="3" spans="1:21" ht="24" customHeight="1" x14ac:dyDescent="0.25">
      <c r="A3" s="5">
        <v>0</v>
      </c>
      <c r="B3" s="1"/>
      <c r="E3" s="5">
        <v>0</v>
      </c>
      <c r="F3" s="5">
        <v>0</v>
      </c>
      <c r="G3" s="5">
        <v>1</v>
      </c>
      <c r="H3" s="5">
        <v>1</v>
      </c>
      <c r="I3" s="5">
        <v>0</v>
      </c>
      <c r="J3" s="5">
        <v>0</v>
      </c>
      <c r="M3" s="8">
        <v>0</v>
      </c>
      <c r="N3" s="8">
        <v>1</v>
      </c>
      <c r="O3" s="8">
        <v>0</v>
      </c>
    </row>
    <row r="4" spans="1:21" ht="24" customHeight="1" x14ac:dyDescent="0.25">
      <c r="A4" s="5">
        <v>0</v>
      </c>
      <c r="B4" s="1"/>
      <c r="D4" t="s">
        <v>4</v>
      </c>
      <c r="E4" s="5">
        <v>0</v>
      </c>
      <c r="F4" s="5">
        <v>0</v>
      </c>
      <c r="G4" s="5">
        <v>1</v>
      </c>
      <c r="H4" s="5">
        <v>1</v>
      </c>
      <c r="I4" s="5">
        <v>0</v>
      </c>
      <c r="J4" s="5">
        <v>0</v>
      </c>
      <c r="M4" s="8">
        <v>1</v>
      </c>
      <c r="N4" s="8">
        <v>0</v>
      </c>
      <c r="O4" s="8">
        <v>0</v>
      </c>
    </row>
    <row r="5" spans="1:21" ht="24" customHeight="1" x14ac:dyDescent="0.25">
      <c r="A5" s="5">
        <v>0</v>
      </c>
      <c r="B5" s="1"/>
      <c r="E5" s="5">
        <v>0</v>
      </c>
      <c r="F5" s="5">
        <v>1</v>
      </c>
      <c r="G5" s="5">
        <v>0</v>
      </c>
      <c r="H5" s="5">
        <v>0</v>
      </c>
      <c r="I5" s="5">
        <v>1</v>
      </c>
      <c r="J5" s="5">
        <v>0</v>
      </c>
    </row>
    <row r="6" spans="1:21" ht="24" customHeight="1" x14ac:dyDescent="0.25">
      <c r="A6" s="5">
        <v>1</v>
      </c>
      <c r="B6" s="1"/>
      <c r="E6" s="5">
        <v>1</v>
      </c>
      <c r="F6" s="5">
        <v>0</v>
      </c>
      <c r="G6" s="5">
        <v>0</v>
      </c>
      <c r="H6" s="5">
        <v>0</v>
      </c>
      <c r="I6" s="5">
        <v>0</v>
      </c>
      <c r="J6" s="5">
        <v>1</v>
      </c>
      <c r="M6" s="8">
        <f>SUMPRODUCT(E1:G3,$M$2:$O$4)</f>
        <v>1</v>
      </c>
      <c r="N6" s="8">
        <f t="shared" ref="N6:P9" si="0">SUMPRODUCT(F1:H3,$M$2:$O$4)</f>
        <v>0</v>
      </c>
      <c r="O6" s="8">
        <f t="shared" si="0"/>
        <v>1</v>
      </c>
      <c r="P6" s="8">
        <f t="shared" si="0"/>
        <v>3</v>
      </c>
      <c r="Q6" t="s">
        <v>5</v>
      </c>
    </row>
    <row r="7" spans="1:21" ht="24" customHeight="1" x14ac:dyDescent="0.25">
      <c r="A7" s="5">
        <v>0</v>
      </c>
      <c r="B7" s="2"/>
      <c r="M7" s="8">
        <f t="shared" ref="M7:M9" si="1">SUMPRODUCT(E2:G4,$M$2:$O$4)</f>
        <v>0</v>
      </c>
      <c r="N7" s="8">
        <f t="shared" si="0"/>
        <v>1</v>
      </c>
      <c r="O7" s="8">
        <f t="shared" si="0"/>
        <v>3</v>
      </c>
      <c r="P7" s="8">
        <f t="shared" si="0"/>
        <v>1</v>
      </c>
    </row>
    <row r="8" spans="1:21" ht="24" customHeight="1" x14ac:dyDescent="0.25">
      <c r="A8" s="5">
        <v>1</v>
      </c>
      <c r="B8" s="2"/>
      <c r="E8" s="5"/>
      <c r="F8" s="5"/>
      <c r="G8" s="5"/>
      <c r="H8" s="5"/>
      <c r="I8" s="5"/>
      <c r="J8" s="5"/>
      <c r="M8" s="8">
        <f t="shared" si="1"/>
        <v>1</v>
      </c>
      <c r="N8" s="8">
        <f t="shared" si="0"/>
        <v>3</v>
      </c>
      <c r="O8" s="8">
        <f t="shared" si="0"/>
        <v>1</v>
      </c>
      <c r="P8" s="8">
        <f t="shared" si="0"/>
        <v>0</v>
      </c>
    </row>
    <row r="9" spans="1:21" ht="24" customHeight="1" x14ac:dyDescent="0.25">
      <c r="A9" s="5">
        <v>0</v>
      </c>
      <c r="B9" s="2"/>
      <c r="E9" s="5"/>
      <c r="F9" s="5"/>
      <c r="G9" s="5"/>
      <c r="H9" s="5"/>
      <c r="I9" s="5"/>
      <c r="J9" s="5"/>
      <c r="M9" s="8">
        <f t="shared" si="1"/>
        <v>3</v>
      </c>
      <c r="N9" s="8">
        <f t="shared" si="0"/>
        <v>1</v>
      </c>
      <c r="O9" s="8">
        <f t="shared" si="0"/>
        <v>0</v>
      </c>
      <c r="P9" s="8">
        <f t="shared" si="0"/>
        <v>1</v>
      </c>
    </row>
    <row r="10" spans="1:21" ht="24" customHeight="1" x14ac:dyDescent="0.25">
      <c r="A10" s="5">
        <v>0</v>
      </c>
      <c r="B10" s="2"/>
      <c r="E10" s="5"/>
      <c r="F10" s="5"/>
      <c r="G10" s="5"/>
      <c r="H10" s="5"/>
      <c r="I10" s="5"/>
      <c r="J10" s="5"/>
      <c r="M10" t="s">
        <v>1</v>
      </c>
      <c r="R10" t="s">
        <v>2</v>
      </c>
    </row>
    <row r="11" spans="1:21" ht="24" customHeight="1" x14ac:dyDescent="0.25">
      <c r="A11" s="5">
        <v>1</v>
      </c>
      <c r="B11" s="2"/>
      <c r="E11" s="5"/>
      <c r="F11" s="5"/>
      <c r="G11" s="5"/>
      <c r="H11" s="5"/>
      <c r="I11" s="5"/>
      <c r="J11" s="5"/>
      <c r="M11" s="9">
        <f>M6-2</f>
        <v>-1</v>
      </c>
      <c r="N11" s="9">
        <f t="shared" ref="N11:P11" si="2">N6-2</f>
        <v>-2</v>
      </c>
      <c r="O11" s="9">
        <f t="shared" si="2"/>
        <v>-1</v>
      </c>
      <c r="P11" s="9">
        <f t="shared" si="2"/>
        <v>1</v>
      </c>
      <c r="R11" s="9">
        <f>IF(M11&gt;0,M11,0)</f>
        <v>0</v>
      </c>
      <c r="S11" s="9">
        <f t="shared" ref="S11:U14" si="3">IF(N11&gt;0,N11,0)</f>
        <v>0</v>
      </c>
      <c r="T11" s="9">
        <f t="shared" si="3"/>
        <v>0</v>
      </c>
      <c r="U11" s="9">
        <f t="shared" si="3"/>
        <v>1</v>
      </c>
    </row>
    <row r="12" spans="1:21" ht="24" customHeight="1" x14ac:dyDescent="0.25">
      <c r="A12" s="5">
        <v>0</v>
      </c>
      <c r="B12" s="2"/>
      <c r="E12" s="5"/>
      <c r="F12" s="5"/>
      <c r="G12" s="5"/>
      <c r="H12" s="5"/>
      <c r="I12" s="5"/>
      <c r="J12" s="5"/>
      <c r="M12" s="9">
        <f t="shared" ref="M12:P14" si="4">M7-2</f>
        <v>-2</v>
      </c>
      <c r="N12" s="9">
        <f t="shared" si="4"/>
        <v>-1</v>
      </c>
      <c r="O12" s="9">
        <f t="shared" si="4"/>
        <v>1</v>
      </c>
      <c r="P12" s="9">
        <f t="shared" si="4"/>
        <v>-1</v>
      </c>
      <c r="R12" s="9">
        <f t="shared" ref="R12:R14" si="5">IF(M12&gt;0,M12,0)</f>
        <v>0</v>
      </c>
      <c r="S12" s="9">
        <f t="shared" si="3"/>
        <v>0</v>
      </c>
      <c r="T12" s="9">
        <f t="shared" si="3"/>
        <v>1</v>
      </c>
      <c r="U12" s="9">
        <f t="shared" si="3"/>
        <v>0</v>
      </c>
    </row>
    <row r="13" spans="1:21" ht="24" customHeight="1" x14ac:dyDescent="0.25">
      <c r="A13" s="5">
        <v>0</v>
      </c>
      <c r="B13" s="3"/>
      <c r="E13" s="5"/>
      <c r="F13" s="5"/>
      <c r="G13" s="5"/>
      <c r="H13" s="5"/>
      <c r="I13" s="5"/>
      <c r="J13" s="5"/>
      <c r="M13" s="9">
        <f t="shared" si="4"/>
        <v>-1</v>
      </c>
      <c r="N13" s="9">
        <f t="shared" si="4"/>
        <v>1</v>
      </c>
      <c r="O13" s="9">
        <f t="shared" si="4"/>
        <v>-1</v>
      </c>
      <c r="P13" s="9">
        <f t="shared" si="4"/>
        <v>-2</v>
      </c>
      <c r="R13" s="9">
        <f t="shared" si="5"/>
        <v>0</v>
      </c>
      <c r="S13" s="9">
        <f t="shared" si="3"/>
        <v>1</v>
      </c>
      <c r="T13" s="9">
        <f t="shared" si="3"/>
        <v>0</v>
      </c>
      <c r="U13" s="9">
        <f t="shared" si="3"/>
        <v>0</v>
      </c>
    </row>
    <row r="14" spans="1:21" ht="24" customHeight="1" x14ac:dyDescent="0.25">
      <c r="A14" s="5">
        <v>0</v>
      </c>
      <c r="B14" s="3"/>
      <c r="K14" t="s">
        <v>3</v>
      </c>
      <c r="M14" s="9">
        <f t="shared" si="4"/>
        <v>1</v>
      </c>
      <c r="N14" s="9">
        <f t="shared" si="4"/>
        <v>-1</v>
      </c>
      <c r="O14" s="9">
        <f t="shared" si="4"/>
        <v>-2</v>
      </c>
      <c r="P14" s="9">
        <f t="shared" si="4"/>
        <v>-1</v>
      </c>
      <c r="R14" s="9">
        <f t="shared" si="5"/>
        <v>1</v>
      </c>
      <c r="S14" s="9">
        <f t="shared" si="3"/>
        <v>0</v>
      </c>
      <c r="T14" s="9">
        <f t="shared" si="3"/>
        <v>0</v>
      </c>
      <c r="U14" s="9">
        <f t="shared" si="3"/>
        <v>0</v>
      </c>
    </row>
    <row r="15" spans="1:21" ht="24" customHeight="1" x14ac:dyDescent="0.25">
      <c r="A15" s="5">
        <v>1</v>
      </c>
      <c r="B15" s="3"/>
    </row>
    <row r="16" spans="1:21" ht="24" customHeight="1" x14ac:dyDescent="0.25">
      <c r="A16" s="5">
        <v>1</v>
      </c>
      <c r="B16" s="3"/>
      <c r="L16">
        <v>2</v>
      </c>
      <c r="M16" t="s">
        <v>7</v>
      </c>
      <c r="P16" t="s">
        <v>19</v>
      </c>
    </row>
    <row r="17" spans="1:24" ht="24" customHeight="1" x14ac:dyDescent="0.25">
      <c r="A17" s="5">
        <v>0</v>
      </c>
      <c r="B17" s="3"/>
      <c r="M17" s="7">
        <v>0</v>
      </c>
      <c r="N17" s="7">
        <v>1</v>
      </c>
      <c r="P17" s="8">
        <v>0</v>
      </c>
      <c r="Q17" s="8">
        <v>0.25</v>
      </c>
    </row>
    <row r="18" spans="1:24" ht="24" customHeight="1" x14ac:dyDescent="0.25">
      <c r="A18" s="5">
        <v>0</v>
      </c>
      <c r="B18" s="3"/>
      <c r="M18" s="7">
        <v>1</v>
      </c>
      <c r="N18" s="7">
        <v>0</v>
      </c>
      <c r="P18" s="8">
        <v>0.25</v>
      </c>
      <c r="Q18" s="8">
        <v>0</v>
      </c>
    </row>
    <row r="19" spans="1:24" ht="24" customHeight="1" x14ac:dyDescent="0.25">
      <c r="A19" s="5">
        <v>0</v>
      </c>
      <c r="B19" s="3"/>
    </row>
    <row r="20" spans="1:24" ht="24" customHeight="1" x14ac:dyDescent="0.25">
      <c r="A20" s="5">
        <v>0</v>
      </c>
      <c r="B20" s="3"/>
      <c r="L20">
        <v>3</v>
      </c>
      <c r="M20" t="s">
        <v>9</v>
      </c>
      <c r="T20" t="s">
        <v>17</v>
      </c>
      <c r="W20" t="s">
        <v>18</v>
      </c>
    </row>
    <row r="21" spans="1:24" ht="24" customHeight="1" x14ac:dyDescent="0.25">
      <c r="A21" s="5">
        <v>1</v>
      </c>
      <c r="B21" s="3"/>
      <c r="M21" s="8">
        <f>M17</f>
        <v>0</v>
      </c>
      <c r="O21" s="12">
        <f>M21*P21</f>
        <v>0</v>
      </c>
      <c r="P21">
        <v>-0.8</v>
      </c>
      <c r="T21">
        <v>-1.33</v>
      </c>
      <c r="U21">
        <v>1.45</v>
      </c>
    </row>
    <row r="22" spans="1:24" ht="24" customHeight="1" x14ac:dyDescent="0.25">
      <c r="A22" s="5">
        <v>1</v>
      </c>
      <c r="B22" s="3"/>
      <c r="M22" s="8">
        <f>N17</f>
        <v>1</v>
      </c>
      <c r="O22" s="12">
        <f t="shared" ref="O22:O24" si="6">M22*P22</f>
        <v>-7.0000000000000007E-2</v>
      </c>
      <c r="P22">
        <v>-7.0000000000000007E-2</v>
      </c>
      <c r="R22" t="s">
        <v>13</v>
      </c>
      <c r="T22" s="15">
        <f>R23*(T21)+U21</f>
        <v>-1.3000000000000345E-2</v>
      </c>
      <c r="V22" s="19" t="s">
        <v>16</v>
      </c>
      <c r="W22">
        <f>EXP(T22)/(EXP(T22)+EXP(T24))</f>
        <v>0.26386032215835192</v>
      </c>
    </row>
    <row r="23" spans="1:24" ht="24" customHeight="1" x14ac:dyDescent="0.25">
      <c r="A23" s="5">
        <v>0</v>
      </c>
      <c r="B23" s="3"/>
      <c r="M23" s="8">
        <f>M18</f>
        <v>1</v>
      </c>
      <c r="O23" s="12">
        <f t="shared" si="6"/>
        <v>0.2</v>
      </c>
      <c r="P23">
        <v>0.2</v>
      </c>
      <c r="R23">
        <f>MAX(0,P26)</f>
        <v>1.1000000000000001</v>
      </c>
      <c r="T23">
        <v>1.33</v>
      </c>
      <c r="U23">
        <v>-0.45</v>
      </c>
      <c r="V23" s="6"/>
    </row>
    <row r="24" spans="1:24" ht="24" customHeight="1" x14ac:dyDescent="0.25">
      <c r="A24" s="5">
        <v>0</v>
      </c>
      <c r="B24" s="3"/>
      <c r="M24" s="8">
        <f>N18</f>
        <v>0</v>
      </c>
      <c r="O24" s="12">
        <f t="shared" si="6"/>
        <v>0</v>
      </c>
      <c r="P24">
        <v>0.17</v>
      </c>
      <c r="T24" s="15">
        <f>R23*(T23)+U23</f>
        <v>1.0130000000000003</v>
      </c>
      <c r="V24" s="20" t="s">
        <v>15</v>
      </c>
      <c r="W24" s="1">
        <f>EXP(T24)/(EXP(T22)+EXP(T24))</f>
        <v>0.73613967784164813</v>
      </c>
      <c r="X24" t="s">
        <v>20</v>
      </c>
    </row>
    <row r="25" spans="1:24" ht="24" customHeight="1" x14ac:dyDescent="0.25">
      <c r="A25" s="5">
        <v>0</v>
      </c>
      <c r="B25" s="4"/>
      <c r="O25" s="14">
        <f>SUM(O21:O24)</f>
        <v>0.13</v>
      </c>
      <c r="P25">
        <v>0.97</v>
      </c>
    </row>
    <row r="26" spans="1:24" ht="24" customHeight="1" x14ac:dyDescent="0.25">
      <c r="A26" s="5">
        <v>1</v>
      </c>
      <c r="B26" s="4"/>
      <c r="P26" s="15">
        <f>O25+P25</f>
        <v>1.1000000000000001</v>
      </c>
    </row>
    <row r="27" spans="1:24" ht="24" customHeight="1" x14ac:dyDescent="0.25">
      <c r="A27" s="5">
        <v>0</v>
      </c>
      <c r="B27" s="4"/>
    </row>
    <row r="28" spans="1:24" ht="24" customHeight="1" x14ac:dyDescent="0.25">
      <c r="A28" s="5">
        <v>0</v>
      </c>
      <c r="B28" s="4"/>
    </row>
    <row r="29" spans="1:24" ht="24" customHeight="1" x14ac:dyDescent="0.25">
      <c r="A29" s="5">
        <v>1</v>
      </c>
      <c r="B29" s="4"/>
    </row>
    <row r="30" spans="1:24" ht="24" customHeight="1" x14ac:dyDescent="0.25">
      <c r="A30" s="5">
        <v>0</v>
      </c>
      <c r="B30" s="4"/>
    </row>
    <row r="31" spans="1:24" ht="24" customHeight="1" x14ac:dyDescent="0.25">
      <c r="A31" s="5">
        <v>0</v>
      </c>
    </row>
    <row r="32" spans="1:24" ht="24" customHeight="1" x14ac:dyDescent="0.25">
      <c r="A32" s="5">
        <v>1</v>
      </c>
    </row>
    <row r="33" spans="1:1" ht="24" customHeight="1" x14ac:dyDescent="0.25">
      <c r="A33" s="5">
        <v>0</v>
      </c>
    </row>
    <row r="34" spans="1:1" ht="24" customHeight="1" x14ac:dyDescent="0.25">
      <c r="A34" s="5">
        <v>0</v>
      </c>
    </row>
    <row r="35" spans="1:1" ht="24" customHeight="1" x14ac:dyDescent="0.25">
      <c r="A35" s="5">
        <v>0</v>
      </c>
    </row>
    <row r="36" spans="1:1" ht="24" customHeight="1" x14ac:dyDescent="0.25">
      <c r="A36" s="5">
        <v>0</v>
      </c>
    </row>
    <row r="37" spans="1:1" x14ac:dyDescent="0.25">
      <c r="A37" s="5">
        <v>1</v>
      </c>
    </row>
  </sheetData>
  <mergeCells count="1">
    <mergeCell ref="M1:O1"/>
  </mergeCells>
  <conditionalFormatting sqref="A1:A37">
    <cfRule type="cellIs" dxfId="7" priority="9" operator="equal">
      <formula>1</formula>
    </cfRule>
  </conditionalFormatting>
  <conditionalFormatting sqref="E5:J5">
    <cfRule type="cellIs" dxfId="6" priority="8" operator="equal">
      <formula>1</formula>
    </cfRule>
  </conditionalFormatting>
  <conditionalFormatting sqref="E8:J13">
    <cfRule type="cellIs" dxfId="5" priority="7" operator="equal">
      <formula>1</formula>
    </cfRule>
  </conditionalFormatting>
  <conditionalFormatting sqref="E1:J1">
    <cfRule type="cellIs" dxfId="4" priority="5" operator="equal">
      <formula>1</formula>
    </cfRule>
  </conditionalFormatting>
  <conditionalFormatting sqref="E2:J2">
    <cfRule type="cellIs" dxfId="3" priority="4" operator="equal">
      <formula>1</formula>
    </cfRule>
  </conditionalFormatting>
  <conditionalFormatting sqref="E3:J3">
    <cfRule type="cellIs" dxfId="2" priority="3" operator="equal">
      <formula>1</formula>
    </cfRule>
  </conditionalFormatting>
  <conditionalFormatting sqref="E4:J4">
    <cfRule type="cellIs" dxfId="1" priority="2" operator="equal">
      <formula>1</formula>
    </cfRule>
  </conditionalFormatting>
  <conditionalFormatting sqref="E6:J6">
    <cfRule type="cellIs" dxfId="0" priority="1" operator="equal">
      <formula>1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O</vt:lpstr>
      <vt:lpstr>O (2)</vt:lpstr>
      <vt:lpstr>Arkusz1</vt:lpstr>
      <vt:lpstr>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Urszula Grzybowska</dc:creator>
  <cp:lastModifiedBy>Urszula Grzybowska</cp:lastModifiedBy>
  <dcterms:created xsi:type="dcterms:W3CDTF">2024-04-17T08:38:39Z</dcterms:created>
  <dcterms:modified xsi:type="dcterms:W3CDTF">2026-03-26T08:14:39Z</dcterms:modified>
</cp:coreProperties>
</file>