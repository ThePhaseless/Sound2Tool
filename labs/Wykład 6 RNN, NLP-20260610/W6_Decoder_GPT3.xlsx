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gwpl-my.sharepoint.com/personal/p489000_sggw_edu_pl/Documents/Pulpit/Algorytmy Uczące2025/Wykład8 Transformersy/"/>
    </mc:Choice>
  </mc:AlternateContent>
  <xr:revisionPtr revIDLastSave="27" documentId="8_{49CB1F68-EF23-4002-85CB-B4240251AD1E}" xr6:coauthVersionLast="47" xr6:coauthVersionMax="47" xr10:uidLastSave="{1B68EB6B-5BC2-48ED-BC25-E35A3D6CA7B1}"/>
  <bookViews>
    <workbookView xWindow="-110" yWindow="-110" windowWidth="19420" windowHeight="11500" firstSheet="1" activeTab="4" xr2:uid="{AE903745-5D8C-4FE1-A25E-2A44568877AD}"/>
  </bookViews>
  <sheets>
    <sheet name="Wordembedding" sheetId="1" r:id="rId1"/>
    <sheet name="WE" sheetId="2" r:id="rId2"/>
    <sheet name="WE (WoT)" sheetId="4" r:id="rId3"/>
    <sheet name="WE (wspaniały)" sheetId="5" r:id="rId4"/>
    <sheet name="Kodowanie pozycyjne" sheetId="6" r:id="rId5"/>
    <sheet name="Podobieństwo+samouwaga" sheetId="7" r:id="rId6"/>
    <sheet name="Samouwaga (value+MSA)" sheetId="9" r:id="rId7"/>
    <sheet name="samaouwaga (jaki)" sheetId="10" r:id="rId8"/>
    <sheet name="SamouwagaWoT" sheetId="12" r:id="rId9"/>
    <sheet name="Samouwaga&lt;EOS &gt;" sheetId="14" r:id="rId10"/>
    <sheet name="Prognoza" sheetId="11" r:id="rId11"/>
    <sheet name="Zadanie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0" l="1" a="1"/>
  <c r="T2" i="10"/>
  <c r="AJ29" i="14"/>
  <c r="AJ26" i="14"/>
  <c r="AE25" i="14" a="1"/>
  <c r="AE26" i="14" s="1"/>
  <c r="AJ23" i="14"/>
  <c r="AO22" i="14"/>
  <c r="AN22" i="14"/>
  <c r="AE22" i="14" a="1"/>
  <c r="AE23" i="14" s="1"/>
  <c r="AJ20" i="14"/>
  <c r="AL20" i="14" s="1"/>
  <c r="AE19" i="14" a="1"/>
  <c r="AE20" i="14" s="1"/>
  <c r="W12" i="14"/>
  <c r="V1" i="14" s="1"/>
  <c r="T12" i="14"/>
  <c r="T1" i="14" s="1"/>
  <c r="O12" i="14"/>
  <c r="L12" i="14"/>
  <c r="M1" i="14" s="1"/>
  <c r="G12" i="14"/>
  <c r="G1" i="14" s="1"/>
  <c r="D12" i="14"/>
  <c r="E1" i="14" s="1"/>
  <c r="AE10" i="14" a="1"/>
  <c r="AE10" i="14" s="1"/>
  <c r="AE7" i="14" a="1"/>
  <c r="AE8" i="14" s="1"/>
  <c r="AE4" i="14" a="1"/>
  <c r="AE5" i="14" s="1"/>
  <c r="O1" i="14"/>
  <c r="K1" i="7"/>
  <c r="AA2" i="9" a="1"/>
  <c r="AA2" i="9" s="1"/>
  <c r="F11" i="11"/>
  <c r="F10" i="11"/>
  <c r="G9" i="11" s="1" a="1"/>
  <c r="G13" i="11" s="1"/>
  <c r="I13" i="11" s="1"/>
  <c r="G3" i="11" a="1"/>
  <c r="G5" i="11" s="1"/>
  <c r="I5" i="11" s="1"/>
  <c r="W12" i="12"/>
  <c r="V1" i="12" s="1"/>
  <c r="AE10" i="12" a="1"/>
  <c r="AE11" i="12" s="1"/>
  <c r="AE7" i="12" a="1"/>
  <c r="AE7" i="12" s="1"/>
  <c r="AE4" i="12" a="1"/>
  <c r="AE4" i="12" s="1"/>
  <c r="AL23" i="14" l="1"/>
  <c r="AL26" i="14"/>
  <c r="AL29" i="14"/>
  <c r="AE11" i="14"/>
  <c r="AE25" i="14"/>
  <c r="AE22" i="14"/>
  <c r="AE4" i="14"/>
  <c r="AE7" i="14"/>
  <c r="AE19" i="14"/>
  <c r="AB2" i="9"/>
  <c r="G10" i="11"/>
  <c r="I10" i="11" s="1"/>
  <c r="G9" i="11"/>
  <c r="I9" i="11" s="1"/>
  <c r="G11" i="11"/>
  <c r="I11" i="11" s="1"/>
  <c r="G12" i="11"/>
  <c r="I12" i="11" s="1"/>
  <c r="K12" i="11" s="1"/>
  <c r="G4" i="11"/>
  <c r="I4" i="11" s="1"/>
  <c r="G7" i="11"/>
  <c r="I7" i="11" s="1"/>
  <c r="G3" i="11"/>
  <c r="I3" i="11" s="1"/>
  <c r="G6" i="11"/>
  <c r="I6" i="11" s="1"/>
  <c r="AE10" i="12"/>
  <c r="AE8" i="12"/>
  <c r="AE5" i="12"/>
  <c r="AA14" i="12" s="1"/>
  <c r="T12" i="12"/>
  <c r="T1" i="12" s="1"/>
  <c r="O12" i="12"/>
  <c r="O1" i="12" s="1"/>
  <c r="L12" i="12"/>
  <c r="M1" i="12" s="1"/>
  <c r="G12" i="12"/>
  <c r="G1" i="12" s="1"/>
  <c r="D12" i="12"/>
  <c r="E1" i="12" s="1"/>
  <c r="K15" i="10"/>
  <c r="H15" i="10"/>
  <c r="S10" i="10" a="1"/>
  <c r="S11" i="10" s="1"/>
  <c r="S7" i="10" a="1"/>
  <c r="S8" i="10" s="1"/>
  <c r="S15" i="10" a="1"/>
  <c r="S16" i="10" s="1"/>
  <c r="D15" i="10"/>
  <c r="B15" i="10"/>
  <c r="H10" i="10" s="1"/>
  <c r="Z19" i="9" a="1"/>
  <c r="Z20" i="9" s="1"/>
  <c r="Z16" i="9" a="1"/>
  <c r="Z17" i="9" s="1"/>
  <c r="T15" i="9"/>
  <c r="Q15" i="9"/>
  <c r="N15" i="9"/>
  <c r="L15" i="9"/>
  <c r="D15" i="9"/>
  <c r="B15" i="9"/>
  <c r="K5" i="9"/>
  <c r="I1" i="7"/>
  <c r="V2" i="9" l="1"/>
  <c r="U2" i="9"/>
  <c r="K5" i="11"/>
  <c r="K9" i="11"/>
  <c r="AA14" i="14"/>
  <c r="AA15" i="14"/>
  <c r="AA16" i="14"/>
  <c r="AD16" i="14" s="1"/>
  <c r="K3" i="11"/>
  <c r="K11" i="11"/>
  <c r="K10" i="11"/>
  <c r="K13" i="11"/>
  <c r="K6" i="11"/>
  <c r="K7" i="11"/>
  <c r="K4" i="11"/>
  <c r="AA16" i="12"/>
  <c r="AA15" i="12"/>
  <c r="AD15" i="12" s="1"/>
  <c r="S10" i="10"/>
  <c r="S7" i="10"/>
  <c r="S15" i="10"/>
  <c r="O10" i="9"/>
  <c r="H10" i="9"/>
  <c r="Z16" i="9"/>
  <c r="Z19" i="9"/>
  <c r="Z18" i="7" a="1"/>
  <c r="Z19" i="7" s="1"/>
  <c r="D11" i="7"/>
  <c r="B11" i="7"/>
  <c r="Z15" i="7" a="1"/>
  <c r="Z16" i="7" s="1"/>
  <c r="N11" i="7"/>
  <c r="L11" i="7"/>
  <c r="Z12" i="7" a="1"/>
  <c r="Z12" i="7" s="1"/>
  <c r="T11" i="7"/>
  <c r="Q11" i="7"/>
  <c r="Q4" i="6"/>
  <c r="N4" i="6"/>
  <c r="K4" i="6"/>
  <c r="H4" i="6"/>
  <c r="E4" i="6"/>
  <c r="B4" i="6"/>
  <c r="AD15" i="14" l="1"/>
  <c r="AD14" i="14"/>
  <c r="AD16" i="12"/>
  <c r="AD14" i="12"/>
  <c r="H6" i="7"/>
  <c r="O6" i="7"/>
  <c r="Z18" i="7"/>
  <c r="Z15" i="7"/>
  <c r="Z13" i="7"/>
  <c r="F11" i="5"/>
  <c r="F9" i="5" s="1"/>
  <c r="F7" i="5" s="1"/>
  <c r="F24" i="5" s="1"/>
  <c r="M10" i="5"/>
  <c r="M8" i="5" s="1"/>
  <c r="M6" i="5" s="1"/>
  <c r="G24" i="5" s="1"/>
  <c r="F7" i="4"/>
  <c r="F5" i="4" s="1"/>
  <c r="F3" i="4" s="1"/>
  <c r="F20" i="4" s="1"/>
  <c r="M6" i="4"/>
  <c r="M4" i="4" s="1"/>
  <c r="M2" i="4" s="1"/>
  <c r="G20" i="4" s="1"/>
  <c r="F7" i="2" l="1"/>
  <c r="F5" i="2" s="1"/>
  <c r="F3" i="2" s="1"/>
  <c r="F20" i="2" s="1"/>
  <c r="M6" i="2"/>
  <c r="M4" i="2" s="1"/>
  <c r="M2" i="2" s="1"/>
  <c r="G20" i="2" s="1"/>
  <c r="M7" i="1"/>
  <c r="M5" i="1" s="1"/>
  <c r="M3" i="1" s="1"/>
  <c r="F8" i="1"/>
  <c r="F6" i="1" s="1"/>
  <c r="F4" i="1" s="1"/>
  <c r="AB18" i="7"/>
  <c r="AB15" i="7"/>
  <c r="U11" i="10"/>
  <c r="I7" i="10"/>
  <c r="I5" i="10"/>
  <c r="L2" i="10"/>
  <c r="L3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<sst xmlns="http://schemas.openxmlformats.org/spreadsheetml/2006/main" count="297" uniqueCount="87">
  <si>
    <t>Zadnie/pytania-PROMPT-"Jaki jest WoT"</t>
  </si>
  <si>
    <t>aktywacja</t>
  </si>
  <si>
    <t>suma</t>
  </si>
  <si>
    <t>Jaki</t>
  </si>
  <si>
    <t>jest</t>
  </si>
  <si>
    <t>WoT</t>
  </si>
  <si>
    <t>wspaniały</t>
  </si>
  <si>
    <t>&lt;EOS&gt;</t>
  </si>
  <si>
    <t xml:space="preserve">Reprezentacja wektorowa słowa "jaki": </t>
  </si>
  <si>
    <t>Word embedding/osadzanie słów</t>
  </si>
  <si>
    <t xml:space="preserve">Reprezentacja wektorowa słowa "jest": </t>
  </si>
  <si>
    <t>Wagi wyznaczane algorytmem propagacji wstecznej</t>
  </si>
  <si>
    <t xml:space="preserve">Reprezentacja wektorowa słowa "WoT": </t>
  </si>
  <si>
    <t xml:space="preserve">Reprezentacja wektorowa słowa "wspaniały": </t>
  </si>
  <si>
    <t>E1</t>
  </si>
  <si>
    <t>E2</t>
  </si>
  <si>
    <t>E3</t>
  </si>
  <si>
    <t>=</t>
  </si>
  <si>
    <t>Tyle krzywych ile pozycji w wektorze osadzania</t>
  </si>
  <si>
    <t>sin</t>
  </si>
  <si>
    <t>cos</t>
  </si>
  <si>
    <t>+</t>
  </si>
  <si>
    <t>Tyle razy zanjdujemy pozycję, ile mamy  tokenów.</t>
  </si>
  <si>
    <t>softmax</t>
  </si>
  <si>
    <t>dla słowa "jest" daje informację, jaki procent poprzedzających słów powinien być brany pod uwagę</t>
  </si>
  <si>
    <t>Obliczenie samouwagi dla "jest"</t>
  </si>
  <si>
    <t>Iloczyn skalarny między zapytaniem dla "jest" a kluczem dla "jaki"</t>
  </si>
  <si>
    <t>Iloczyn skalarny między zapytaniem dla jest a kluczem dla jest</t>
  </si>
  <si>
    <t>Podobieństwo</t>
  </si>
  <si>
    <t>Key</t>
  </si>
  <si>
    <t>Query</t>
  </si>
  <si>
    <t>WQ</t>
  </si>
  <si>
    <t>Q</t>
  </si>
  <si>
    <t>Wk</t>
  </si>
  <si>
    <t>K</t>
  </si>
  <si>
    <t>iloczyn skalarny</t>
  </si>
  <si>
    <t>jaki</t>
  </si>
  <si>
    <t>Maskowana samouwaga dla słowa "jest"</t>
  </si>
  <si>
    <t>0 dla jaki i 1 dla jest</t>
  </si>
  <si>
    <t>Wv</t>
  </si>
  <si>
    <t>V2</t>
  </si>
  <si>
    <t>V1</t>
  </si>
  <si>
    <t>maskowana samouwaga dla "jaki"</t>
  </si>
  <si>
    <t>value</t>
  </si>
  <si>
    <t>Wq</t>
  </si>
  <si>
    <t>Iloczyn skalarny między zapytaniem dla "jaki" a kluczem dla "jaki"</t>
  </si>
  <si>
    <t>Połączenia resztowe</t>
  </si>
  <si>
    <t>Embedding dla WOT</t>
  </si>
  <si>
    <t>Maskowana samouwaga</t>
  </si>
  <si>
    <t>Q3</t>
  </si>
  <si>
    <t>Key1</t>
  </si>
  <si>
    <t>Value1</t>
  </si>
  <si>
    <t>(masked selfattention)</t>
  </si>
  <si>
    <t>K3</t>
  </si>
  <si>
    <t>Key2</t>
  </si>
  <si>
    <t>Value2</t>
  </si>
  <si>
    <t>V</t>
  </si>
  <si>
    <t>V3</t>
  </si>
  <si>
    <t>Key3</t>
  </si>
  <si>
    <t>Value3</t>
  </si>
  <si>
    <t>Wynik funkcji softmax informuje, jaki procent wartości każdego słowa powinien być użyty do obliczenia maskowanej samouwagi dla słowa WoT</t>
  </si>
  <si>
    <t>Iloczyn skalarny Q3K3</t>
  </si>
  <si>
    <t>Iloczyn skalarny Q3K1</t>
  </si>
  <si>
    <t>Iloczyn skalarny Q3K2</t>
  </si>
  <si>
    <t>SUMA.ILOCZYNÓW(AH20:AH21;AI20:AI21)</t>
  </si>
  <si>
    <t>dla &lt;EOS&gt;</t>
  </si>
  <si>
    <t>(dot product)</t>
  </si>
  <si>
    <t>E4</t>
  </si>
  <si>
    <t>Q4</t>
  </si>
  <si>
    <t>samouwaga dla &lt;EOS</t>
  </si>
  <si>
    <t xml:space="preserve"> value dla 1 tokenu czyli dl "Jaki"</t>
  </si>
  <si>
    <t>K4</t>
  </si>
  <si>
    <t>połączenie resztowe dla &lt;EOS&gt;</t>
  </si>
  <si>
    <t>suma E4 i smouwagi dla &lt;EOS&gt;</t>
  </si>
  <si>
    <t>V4</t>
  </si>
  <si>
    <t>Key4</t>
  </si>
  <si>
    <t>Wagi ostatniej warstwy</t>
  </si>
  <si>
    <t>Połączenia resztowe są wsadem do ostatniej warstwy</t>
  </si>
  <si>
    <t>&lt;EoS&gt;</t>
  </si>
  <si>
    <t>Dokończ obliczenia, tj. wyznacz samopodobieństwo maskowane dla &lt;EOS&gt;  promptu "Jaki jest WoT &lt;EOS&gt;" i połączenia resztowe. Dokonaj prognozy.</t>
  </si>
  <si>
    <t>Przyjmij osadzenie słów i kodowanie pozycyjne dla &lt;EOS&gt; równe 3.06 i -3.96 (4 pozycja)</t>
  </si>
  <si>
    <t>Następnie zakończ działanie Transformersa wykorzystując odpowiedź z poprzedniego kroku do przewidzenia &lt;EOS&gt;. (5 pozycja)</t>
  </si>
  <si>
    <t>Wartości osadzania 1.45 i -1.29</t>
  </si>
  <si>
    <t>Unemebedding</t>
  </si>
  <si>
    <r>
      <t>Q</t>
    </r>
    <r>
      <rPr>
        <vertAlign val="superscript"/>
        <sz val="11"/>
        <color theme="1"/>
        <rFont val="Times New Roman"/>
        <family val="1"/>
        <charset val="238"/>
      </rPr>
      <t>T</t>
    </r>
  </si>
  <si>
    <t>Iloczyn skalarny lub mnożenie macierzowe wekora wierszowgo i kolumnowego</t>
  </si>
  <si>
    <t>Token 1 ma pos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</si>
</sst>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E+00"/>
    <numFmt numFmtId="166" formatCode="0.0000"/>
  </numFmts>
  <fonts count="4" x14ac:knownFonts="1">
    <font>
      <sz val="11"/>
      <color theme="1"/>
      <name val="Times New Roman"/>
      <family val="2"/>
      <charset val="238"/>
    </font>
    <font>
      <b/>
      <sz val="11"/>
      <color theme="1"/>
      <name val="Times New Roman"/>
      <family val="1"/>
      <charset val="238"/>
    </font>
    <font>
      <sz val="11"/>
      <color rgb="FFFF0000"/>
      <name val="Times New Roman"/>
      <family val="2"/>
      <charset val="238"/>
    </font>
    <font>
      <vertAlign val="superscript"/>
      <sz val="11"/>
      <color theme="1"/>
      <name val="Times New Roman"/>
      <family val="1"/>
      <charset val="238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FE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 diagonalUp="1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 style="thick">
        <color rgb="FFFF0000"/>
      </diagonal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rgb="FFFF00FF"/>
      </left>
      <right/>
      <top style="medium">
        <color rgb="FFFF00FF"/>
      </top>
      <bottom/>
      <diagonal/>
    </border>
    <border>
      <left/>
      <right/>
      <top style="medium">
        <color rgb="FFFF00FF"/>
      </top>
      <bottom/>
      <diagonal/>
    </border>
    <border>
      <left/>
      <right style="medium">
        <color rgb="FFFF00FF"/>
      </right>
      <top style="medium">
        <color rgb="FFFF00FF"/>
      </top>
      <bottom/>
      <diagonal/>
    </border>
    <border>
      <left style="medium">
        <color rgb="FFFF00FF"/>
      </left>
      <right/>
      <top/>
      <bottom/>
      <diagonal/>
    </border>
    <border>
      <left/>
      <right style="medium">
        <color rgb="FFFF00FF"/>
      </right>
      <top/>
      <bottom/>
      <diagonal/>
    </border>
    <border>
      <left style="medium">
        <color rgb="FFFF00FF"/>
      </left>
      <right/>
      <top/>
      <bottom style="medium">
        <color rgb="FFFF00FF"/>
      </bottom>
      <diagonal/>
    </border>
    <border>
      <left/>
      <right/>
      <top/>
      <bottom style="medium">
        <color rgb="FFFF00FF"/>
      </bottom>
      <diagonal/>
    </border>
    <border>
      <left/>
      <right style="medium">
        <color rgb="FFFF00FF"/>
      </right>
      <top/>
      <bottom style="medium">
        <color rgb="FFFF00FF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2" xfId="0" applyFill="1" applyBorder="1"/>
    <xf numFmtId="0" fontId="0" fillId="6" borderId="0" xfId="0" applyFill="1"/>
    <xf numFmtId="0" fontId="0" fillId="7" borderId="2" xfId="0" applyFill="1" applyBorder="1"/>
    <xf numFmtId="0" fontId="0" fillId="7" borderId="0" xfId="0" applyFill="1"/>
    <xf numFmtId="0" fontId="0" fillId="3" borderId="2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12" borderId="6" xfId="0" applyFill="1" applyBorder="1"/>
    <xf numFmtId="0" fontId="0" fillId="12" borderId="7" xfId="0" applyFill="1" applyBorder="1"/>
    <xf numFmtId="0" fontId="0" fillId="0" borderId="0" xfId="0" quotePrefix="1" applyAlignment="1">
      <alignment horizontal="center"/>
    </xf>
    <xf numFmtId="0" fontId="0" fillId="0" borderId="8" xfId="0" applyBorder="1"/>
    <xf numFmtId="0" fontId="0" fillId="0" borderId="0" xfId="0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14" borderId="0" xfId="0" applyFill="1"/>
    <xf numFmtId="0" fontId="0" fillId="15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0" borderId="9" xfId="0" applyBorder="1" applyAlignment="1">
      <alignment horizontal="center"/>
    </xf>
    <xf numFmtId="164" fontId="0" fillId="17" borderId="0" xfId="0" applyNumberFormat="1" applyFill="1"/>
    <xf numFmtId="0" fontId="0" fillId="0" borderId="13" xfId="0" applyBorder="1"/>
    <xf numFmtId="0" fontId="0" fillId="0" borderId="14" xfId="0" applyBorder="1"/>
    <xf numFmtId="0" fontId="0" fillId="6" borderId="15" xfId="0" applyFill="1" applyBorder="1"/>
    <xf numFmtId="0" fontId="0" fillId="0" borderId="16" xfId="0" applyBorder="1"/>
    <xf numFmtId="0" fontId="0" fillId="6" borderId="17" xfId="0" applyFill="1" applyBorder="1"/>
    <xf numFmtId="0" fontId="0" fillId="13" borderId="0" xfId="0" applyFill="1"/>
    <xf numFmtId="0" fontId="0" fillId="17" borderId="0" xfId="0" applyFill="1" applyAlignment="1">
      <alignment horizontal="center"/>
    </xf>
    <xf numFmtId="0" fontId="0" fillId="18" borderId="0" xfId="0" applyFill="1"/>
    <xf numFmtId="0" fontId="0" fillId="0" borderId="21" xfId="0" applyBorder="1"/>
    <xf numFmtId="0" fontId="0" fillId="0" borderId="22" xfId="0" applyBorder="1"/>
    <xf numFmtId="0" fontId="0" fillId="19" borderId="23" xfId="0" applyFill="1" applyBorder="1"/>
    <xf numFmtId="0" fontId="0" fillId="0" borderId="24" xfId="0" applyBorder="1"/>
    <xf numFmtId="0" fontId="0" fillId="19" borderId="25" xfId="0" applyFill="1" applyBorder="1"/>
    <xf numFmtId="0" fontId="0" fillId="20" borderId="18" xfId="0" applyFill="1" applyBorder="1"/>
    <xf numFmtId="0" fontId="0" fillId="20" borderId="19" xfId="0" applyFill="1" applyBorder="1"/>
    <xf numFmtId="0" fontId="0" fillId="20" borderId="20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20" borderId="0" xfId="0" applyFill="1"/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1" borderId="0" xfId="0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2" fontId="0" fillId="18" borderId="0" xfId="0" applyNumberFormat="1" applyFill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8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3" borderId="0" xfId="0" applyFill="1"/>
    <xf numFmtId="0" fontId="0" fillId="0" borderId="0" xfId="0" applyAlignment="1">
      <alignment vertical="center" textRotation="90" wrapText="1"/>
    </xf>
    <xf numFmtId="2" fontId="1" fillId="19" borderId="0" xfId="0" applyNumberFormat="1" applyFon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4" borderId="0" xfId="0" applyFill="1"/>
    <xf numFmtId="0" fontId="0" fillId="19" borderId="0" xfId="0" applyFill="1"/>
    <xf numFmtId="0" fontId="0" fillId="21" borderId="0" xfId="0" applyFill="1"/>
    <xf numFmtId="0" fontId="1" fillId="21" borderId="0" xfId="0" applyFont="1" applyFill="1" applyAlignment="1">
      <alignment horizontal="center"/>
    </xf>
    <xf numFmtId="2" fontId="1" fillId="21" borderId="0" xfId="0" applyNumberFormat="1" applyFon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0" fillId="25" borderId="0" xfId="0" applyFill="1"/>
    <xf numFmtId="0" fontId="2" fillId="13" borderId="0" xfId="0" applyFont="1" applyFill="1"/>
    <xf numFmtId="2" fontId="0" fillId="13" borderId="0" xfId="0" applyNumberFormat="1" applyFill="1"/>
    <xf numFmtId="0" fontId="0" fillId="24" borderId="0" xfId="0" applyFill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0" fillId="26" borderId="0" xfId="0" applyFill="1"/>
    <xf numFmtId="2" fontId="0" fillId="3" borderId="0" xfId="0" applyNumberFormat="1" applyFill="1"/>
    <xf numFmtId="0" fontId="0" fillId="26" borderId="0" xfId="0" applyFill="1" applyAlignment="1">
      <alignment horizontal="center"/>
    </xf>
    <xf numFmtId="166" fontId="0" fillId="0" borderId="0" xfId="0" applyNumberFormat="1"/>
    <xf numFmtId="0" fontId="0" fillId="1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9" borderId="36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0" borderId="37" xfId="0" applyBorder="1"/>
    <xf numFmtId="0" fontId="0" fillId="9" borderId="0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66FF"/>
      <color rgb="FFFF00FF"/>
      <color rgb="FFFF7C80"/>
      <color rgb="FFFF99FF"/>
      <color rgb="FFF8FE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14</xdr:row>
      <xdr:rowOff>139700</xdr:rowOff>
    </xdr:from>
    <xdr:to>
      <xdr:col>2</xdr:col>
      <xdr:colOff>139700</xdr:colOff>
      <xdr:row>16</xdr:row>
      <xdr:rowOff>12700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FAD66205-B475-FF57-7179-DD7A6FCD6940}"/>
            </a:ext>
          </a:extLst>
        </xdr:cNvPr>
        <xdr:cNvCxnSpPr/>
      </xdr:nvCxnSpPr>
      <xdr:spPr>
        <a:xfrm flipV="1">
          <a:off x="742950" y="3162300"/>
          <a:ext cx="635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152400</xdr:rowOff>
    </xdr:from>
    <xdr:to>
      <xdr:col>2</xdr:col>
      <xdr:colOff>12700</xdr:colOff>
      <xdr:row>14</xdr:row>
      <xdr:rowOff>158750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34023CF7-16F0-44F9-81CF-E4ABA19C6822}"/>
            </a:ext>
          </a:extLst>
        </xdr:cNvPr>
        <xdr:cNvCxnSpPr/>
      </xdr:nvCxnSpPr>
      <xdr:spPr>
        <a:xfrm flipV="1">
          <a:off x="1187450" y="1930400"/>
          <a:ext cx="12700" cy="1263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603250</xdr:colOff>
      <xdr:row>14</xdr:row>
      <xdr:rowOff>165100</xdr:rowOff>
    </xdr:from>
    <xdr:to>
      <xdr:col>2</xdr:col>
      <xdr:colOff>107950</xdr:colOff>
      <xdr:row>14</xdr:row>
      <xdr:rowOff>165100</xdr:rowOff>
    </xdr:to>
    <xdr:cxnSp macro="">
      <xdr:nvCxnSpPr>
        <xdr:cNvPr id="11" name="Łącznik prosty 10">
          <a:extLst>
            <a:ext uri="{FF2B5EF4-FFF2-40B4-BE49-F238E27FC236}">
              <a16:creationId xmlns:a16="http://schemas.microsoft.com/office/drawing/2014/main" id="{EC27DAB7-E044-6FB1-A611-1988C627F5A2}"/>
            </a:ext>
          </a:extLst>
        </xdr:cNvPr>
        <xdr:cNvCxnSpPr/>
      </xdr:nvCxnSpPr>
      <xdr:spPr>
        <a:xfrm>
          <a:off x="603250" y="3187700"/>
          <a:ext cx="114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165100</xdr:colOff>
      <xdr:row>14</xdr:row>
      <xdr:rowOff>171450</xdr:rowOff>
    </xdr:from>
    <xdr:to>
      <xdr:col>9</xdr:col>
      <xdr:colOff>387350</xdr:colOff>
      <xdr:row>15</xdr:row>
      <xdr:rowOff>6350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0653E7DC-6062-4B01-81AF-FD461BDFFC1C}"/>
            </a:ext>
          </a:extLst>
        </xdr:cNvPr>
        <xdr:cNvCxnSpPr/>
      </xdr:nvCxnSpPr>
      <xdr:spPr>
        <a:xfrm>
          <a:off x="774700" y="3206750"/>
          <a:ext cx="29781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13</xdr:row>
      <xdr:rowOff>152400</xdr:rowOff>
    </xdr:from>
    <xdr:to>
      <xdr:col>4</xdr:col>
      <xdr:colOff>222250</xdr:colOff>
      <xdr:row>15</xdr:row>
      <xdr:rowOff>171450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B61F4442-25A8-4CCF-150B-5BD16F14B60A}"/>
            </a:ext>
          </a:extLst>
        </xdr:cNvPr>
        <xdr:cNvCxnSpPr/>
      </xdr:nvCxnSpPr>
      <xdr:spPr>
        <a:xfrm flipV="1">
          <a:off x="1612900" y="3009900"/>
          <a:ext cx="6350" cy="3746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13</xdr:row>
      <xdr:rowOff>165100</xdr:rowOff>
    </xdr:from>
    <xdr:to>
      <xdr:col>4</xdr:col>
      <xdr:colOff>209550</xdr:colOff>
      <xdr:row>14</xdr:row>
      <xdr:rowOff>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FBC32F86-5DED-4347-9D6F-E79F862FBC6A}"/>
            </a:ext>
          </a:extLst>
        </xdr:cNvPr>
        <xdr:cNvCxnSpPr/>
      </xdr:nvCxnSpPr>
      <xdr:spPr>
        <a:xfrm flipH="1">
          <a:off x="946150" y="3022600"/>
          <a:ext cx="660400" cy="127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14</xdr:row>
      <xdr:rowOff>6350</xdr:rowOff>
    </xdr:from>
    <xdr:to>
      <xdr:col>12</xdr:col>
      <xdr:colOff>107950</xdr:colOff>
      <xdr:row>14</xdr:row>
      <xdr:rowOff>6350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FFE8DB25-F3B4-4989-96AB-AE1A2AAF109B}"/>
            </a:ext>
          </a:extLst>
        </xdr:cNvPr>
        <xdr:cNvCxnSpPr/>
      </xdr:nvCxnSpPr>
      <xdr:spPr>
        <a:xfrm>
          <a:off x="2241550" y="3079750"/>
          <a:ext cx="297815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158750</xdr:rowOff>
    </xdr:from>
    <xdr:to>
      <xdr:col>3</xdr:col>
      <xdr:colOff>25400</xdr:colOff>
      <xdr:row>13</xdr:row>
      <xdr:rowOff>146050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0D4E4D1F-A568-47CE-ABDD-079275EF0D74}"/>
            </a:ext>
          </a:extLst>
        </xdr:cNvPr>
        <xdr:cNvCxnSpPr/>
      </xdr:nvCxnSpPr>
      <xdr:spPr>
        <a:xfrm flipV="1">
          <a:off x="1581150" y="1936750"/>
          <a:ext cx="25400" cy="10668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12</xdr:row>
      <xdr:rowOff>139700</xdr:rowOff>
    </xdr:from>
    <xdr:to>
      <xdr:col>6</xdr:col>
      <xdr:colOff>158750</xdr:colOff>
      <xdr:row>16</xdr:row>
      <xdr:rowOff>6350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E0DABC4A-252F-7CFD-67A9-1F9F82778027}"/>
            </a:ext>
          </a:extLst>
        </xdr:cNvPr>
        <xdr:cNvCxnSpPr/>
      </xdr:nvCxnSpPr>
      <xdr:spPr>
        <a:xfrm flipV="1">
          <a:off x="2921000" y="2813050"/>
          <a:ext cx="0" cy="59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12</xdr:row>
      <xdr:rowOff>171450</xdr:rowOff>
    </xdr:from>
    <xdr:to>
      <xdr:col>6</xdr:col>
      <xdr:colOff>146050</xdr:colOff>
      <xdr:row>12</xdr:row>
      <xdr:rowOff>177800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E706CEBA-BE0A-4AC0-BACB-2766CC57B851}"/>
            </a:ext>
          </a:extLst>
        </xdr:cNvPr>
        <xdr:cNvCxnSpPr/>
      </xdr:nvCxnSpPr>
      <xdr:spPr>
        <a:xfrm flipH="1" flipV="1">
          <a:off x="2190750" y="2844800"/>
          <a:ext cx="7175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8</xdr:row>
      <xdr:rowOff>19050</xdr:rowOff>
    </xdr:from>
    <xdr:to>
      <xdr:col>4</xdr:col>
      <xdr:colOff>234950</xdr:colOff>
      <xdr:row>12</xdr:row>
      <xdr:rowOff>146050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95C6428B-62C0-40DD-BA08-DE1C3B281E83}"/>
            </a:ext>
          </a:extLst>
        </xdr:cNvPr>
        <xdr:cNvCxnSpPr/>
      </xdr:nvCxnSpPr>
      <xdr:spPr>
        <a:xfrm flipV="1">
          <a:off x="2209800" y="1974850"/>
          <a:ext cx="0" cy="844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146050</xdr:colOff>
      <xdr:row>12</xdr:row>
      <xdr:rowOff>171450</xdr:rowOff>
    </xdr:from>
    <xdr:to>
      <xdr:col>13</xdr:col>
      <xdr:colOff>298450</xdr:colOff>
      <xdr:row>12</xdr:row>
      <xdr:rowOff>177800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2C994297-8976-4E83-ABAF-A4D0646EADA7}"/>
            </a:ext>
          </a:extLst>
        </xdr:cNvPr>
        <xdr:cNvCxnSpPr/>
      </xdr:nvCxnSpPr>
      <xdr:spPr>
        <a:xfrm flipV="1">
          <a:off x="2908300" y="2882900"/>
          <a:ext cx="29400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11</xdr:row>
      <xdr:rowOff>158750</xdr:rowOff>
    </xdr:from>
    <xdr:to>
      <xdr:col>8</xdr:col>
      <xdr:colOff>203200</xdr:colOff>
      <xdr:row>15</xdr:row>
      <xdr:rowOff>158750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2BEFA6A3-2183-1678-FC80-1B64D81286D8}"/>
            </a:ext>
          </a:extLst>
        </xdr:cNvPr>
        <xdr:cNvCxnSpPr/>
      </xdr:nvCxnSpPr>
      <xdr:spPr>
        <a:xfrm flipV="1">
          <a:off x="3752850" y="2647950"/>
          <a:ext cx="0" cy="7239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12</xdr:row>
      <xdr:rowOff>0</xdr:rowOff>
    </xdr:from>
    <xdr:to>
      <xdr:col>8</xdr:col>
      <xdr:colOff>152400</xdr:colOff>
      <xdr:row>12</xdr:row>
      <xdr:rowOff>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14A4917E-11A1-4B9E-9FDD-45265D28E3F9}"/>
            </a:ext>
          </a:extLst>
        </xdr:cNvPr>
        <xdr:cNvCxnSpPr/>
      </xdr:nvCxnSpPr>
      <xdr:spPr>
        <a:xfrm flipH="1">
          <a:off x="2749550" y="2673350"/>
          <a:ext cx="952500" cy="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12700</xdr:rowOff>
    </xdr:from>
    <xdr:to>
      <xdr:col>6</xdr:col>
      <xdr:colOff>0</xdr:colOff>
      <xdr:row>12</xdr:row>
      <xdr:rowOff>19050</xdr:rowOff>
    </xdr:to>
    <xdr:cxnSp macro="">
      <xdr:nvCxnSpPr>
        <xdr:cNvPr id="45" name="Łącznik prosty ze strzałką 44">
          <a:extLst>
            <a:ext uri="{FF2B5EF4-FFF2-40B4-BE49-F238E27FC236}">
              <a16:creationId xmlns:a16="http://schemas.microsoft.com/office/drawing/2014/main" id="{C67FAA7F-294E-46C4-AB7E-1EBD377D5676}"/>
            </a:ext>
          </a:extLst>
        </xdr:cNvPr>
        <xdr:cNvCxnSpPr/>
      </xdr:nvCxnSpPr>
      <xdr:spPr>
        <a:xfrm flipV="1">
          <a:off x="2762250" y="1968500"/>
          <a:ext cx="0" cy="7239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196850</xdr:colOff>
      <xdr:row>10</xdr:row>
      <xdr:rowOff>158750</xdr:rowOff>
    </xdr:from>
    <xdr:to>
      <xdr:col>10</xdr:col>
      <xdr:colOff>203200</xdr:colOff>
      <xdr:row>15</xdr:row>
      <xdr:rowOff>146050</xdr:rowOff>
    </xdr:to>
    <xdr:cxnSp macro="">
      <xdr:nvCxnSpPr>
        <xdr:cNvPr id="49" name="Łącznik prosty ze strzałką 48">
          <a:extLst>
            <a:ext uri="{FF2B5EF4-FFF2-40B4-BE49-F238E27FC236}">
              <a16:creationId xmlns:a16="http://schemas.microsoft.com/office/drawing/2014/main" id="{3C51C9FB-15C3-5A7F-A2BF-CFC499813E96}"/>
            </a:ext>
          </a:extLst>
        </xdr:cNvPr>
        <xdr:cNvCxnSpPr/>
      </xdr:nvCxnSpPr>
      <xdr:spPr>
        <a:xfrm flipH="1" flipV="1">
          <a:off x="4533900" y="2470150"/>
          <a:ext cx="635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10</xdr:row>
      <xdr:rowOff>165100</xdr:rowOff>
    </xdr:from>
    <xdr:to>
      <xdr:col>10</xdr:col>
      <xdr:colOff>196850</xdr:colOff>
      <xdr:row>11</xdr:row>
      <xdr:rowOff>6350</xdr:rowOff>
    </xdr:to>
    <xdr:cxnSp macro="">
      <xdr:nvCxnSpPr>
        <xdr:cNvPr id="52" name="Łącznik prosty ze strzałką 51">
          <a:extLst>
            <a:ext uri="{FF2B5EF4-FFF2-40B4-BE49-F238E27FC236}">
              <a16:creationId xmlns:a16="http://schemas.microsoft.com/office/drawing/2014/main" id="{FBBB00E5-AFE6-472A-8539-5F5380C6F494}"/>
            </a:ext>
          </a:extLst>
        </xdr:cNvPr>
        <xdr:cNvCxnSpPr/>
      </xdr:nvCxnSpPr>
      <xdr:spPr>
        <a:xfrm flipH="1" flipV="1">
          <a:off x="3517900" y="2476500"/>
          <a:ext cx="1016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8</xdr:row>
      <xdr:rowOff>0</xdr:rowOff>
    </xdr:from>
    <xdr:to>
      <xdr:col>8</xdr:col>
      <xdr:colOff>12700</xdr:colOff>
      <xdr:row>11</xdr:row>
      <xdr:rowOff>31750</xdr:rowOff>
    </xdr:to>
    <xdr:cxnSp macro="">
      <xdr:nvCxnSpPr>
        <xdr:cNvPr id="56" name="Łącznik prosty ze strzałką 55">
          <a:extLst>
            <a:ext uri="{FF2B5EF4-FFF2-40B4-BE49-F238E27FC236}">
              <a16:creationId xmlns:a16="http://schemas.microsoft.com/office/drawing/2014/main" id="{9398A0DF-99AD-40FF-A1B9-913B067903E0}"/>
            </a:ext>
          </a:extLst>
        </xdr:cNvPr>
        <xdr:cNvCxnSpPr/>
      </xdr:nvCxnSpPr>
      <xdr:spPr>
        <a:xfrm flipV="1">
          <a:off x="3556000" y="1955800"/>
          <a:ext cx="6350" cy="577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8</xdr:row>
      <xdr:rowOff>0</xdr:rowOff>
    </xdr:from>
    <xdr:to>
      <xdr:col>8</xdr:col>
      <xdr:colOff>19050</xdr:colOff>
      <xdr:row>8</xdr:row>
      <xdr:rowOff>0</xdr:rowOff>
    </xdr:to>
    <xdr:cxnSp macro="">
      <xdr:nvCxnSpPr>
        <xdr:cNvPr id="58" name="Łącznik prosty ze strzałką 57">
          <a:extLst>
            <a:ext uri="{FF2B5EF4-FFF2-40B4-BE49-F238E27FC236}">
              <a16:creationId xmlns:a16="http://schemas.microsoft.com/office/drawing/2014/main" id="{5975BA28-9FFE-4702-82E9-172396D3EB69}"/>
            </a:ext>
          </a:extLst>
        </xdr:cNvPr>
        <xdr:cNvCxnSpPr/>
      </xdr:nvCxnSpPr>
      <xdr:spPr>
        <a:xfrm flipH="1">
          <a:off x="2774950" y="1955800"/>
          <a:ext cx="793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7</xdr:row>
      <xdr:rowOff>171450</xdr:rowOff>
    </xdr:from>
    <xdr:to>
      <xdr:col>5</xdr:col>
      <xdr:colOff>38100</xdr:colOff>
      <xdr:row>8</xdr:row>
      <xdr:rowOff>0</xdr:rowOff>
    </xdr:to>
    <xdr:cxnSp macro="">
      <xdr:nvCxnSpPr>
        <xdr:cNvPr id="64" name="Łącznik prosty ze strzałką 63">
          <a:extLst>
            <a:ext uri="{FF2B5EF4-FFF2-40B4-BE49-F238E27FC236}">
              <a16:creationId xmlns:a16="http://schemas.microsoft.com/office/drawing/2014/main" id="{B4DE316D-134F-4485-ABBA-863D3233EA32}"/>
            </a:ext>
          </a:extLst>
        </xdr:cNvPr>
        <xdr:cNvCxnSpPr/>
      </xdr:nvCxnSpPr>
      <xdr:spPr>
        <a:xfrm flipV="1">
          <a:off x="1193800" y="1949450"/>
          <a:ext cx="12128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5</xdr:row>
      <xdr:rowOff>165100</xdr:rowOff>
    </xdr:from>
    <xdr:to>
      <xdr:col>5</xdr:col>
      <xdr:colOff>171450</xdr:colOff>
      <xdr:row>7</xdr:row>
      <xdr:rowOff>0</xdr:rowOff>
    </xdr:to>
    <xdr:cxnSp macro="">
      <xdr:nvCxnSpPr>
        <xdr:cNvPr id="66" name="Łącznik prosty ze strzałką 65">
          <a:extLst>
            <a:ext uri="{FF2B5EF4-FFF2-40B4-BE49-F238E27FC236}">
              <a16:creationId xmlns:a16="http://schemas.microsoft.com/office/drawing/2014/main" id="{21F65DEB-F6E3-4B0B-A8F7-D8C2C13A266E}"/>
            </a:ext>
          </a:extLst>
        </xdr:cNvPr>
        <xdr:cNvCxnSpPr/>
      </xdr:nvCxnSpPr>
      <xdr:spPr>
        <a:xfrm flipV="1">
          <a:off x="2533650" y="1587500"/>
          <a:ext cx="6350" cy="196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3</xdr:row>
      <xdr:rowOff>165100</xdr:rowOff>
    </xdr:from>
    <xdr:to>
      <xdr:col>5</xdr:col>
      <xdr:colOff>171450</xdr:colOff>
      <xdr:row>5</xdr:row>
      <xdr:rowOff>6350</xdr:rowOff>
    </xdr:to>
    <xdr:cxnSp macro="">
      <xdr:nvCxnSpPr>
        <xdr:cNvPr id="68" name="Łącznik prosty ze strzałką 67">
          <a:extLst>
            <a:ext uri="{FF2B5EF4-FFF2-40B4-BE49-F238E27FC236}">
              <a16:creationId xmlns:a16="http://schemas.microsoft.com/office/drawing/2014/main" id="{18AFCD35-4F97-4B2C-8239-EAB3F01CCF76}"/>
            </a:ext>
          </a:extLst>
        </xdr:cNvPr>
        <xdr:cNvCxnSpPr/>
      </xdr:nvCxnSpPr>
      <xdr:spPr>
        <a:xfrm flipV="1">
          <a:off x="2533650" y="1231900"/>
          <a:ext cx="6350" cy="196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374650</xdr:colOff>
      <xdr:row>6</xdr:row>
      <xdr:rowOff>152400</xdr:rowOff>
    </xdr:from>
    <xdr:to>
      <xdr:col>9</xdr:col>
      <xdr:colOff>387350</xdr:colOff>
      <xdr:row>15</xdr:row>
      <xdr:rowOff>19050</xdr:rowOff>
    </xdr:to>
    <xdr:cxnSp macro="">
      <xdr:nvCxnSpPr>
        <xdr:cNvPr id="69" name="Łącznik prosty ze strzałką 68">
          <a:extLst>
            <a:ext uri="{FF2B5EF4-FFF2-40B4-BE49-F238E27FC236}">
              <a16:creationId xmlns:a16="http://schemas.microsoft.com/office/drawing/2014/main" id="{DA112107-E5EB-4AFB-92F0-007EDB451F4B}"/>
            </a:ext>
          </a:extLst>
        </xdr:cNvPr>
        <xdr:cNvCxnSpPr/>
      </xdr:nvCxnSpPr>
      <xdr:spPr>
        <a:xfrm flipH="1" flipV="1">
          <a:off x="4318000" y="1765300"/>
          <a:ext cx="1270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158750</xdr:rowOff>
    </xdr:from>
    <xdr:to>
      <xdr:col>12</xdr:col>
      <xdr:colOff>6350</xdr:colOff>
      <xdr:row>14</xdr:row>
      <xdr:rowOff>19050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E9308405-34C9-4CAE-AF75-80B692285B8F}"/>
            </a:ext>
          </a:extLst>
        </xdr:cNvPr>
        <xdr:cNvCxnSpPr/>
      </xdr:nvCxnSpPr>
      <xdr:spPr>
        <a:xfrm flipH="1" flipV="1">
          <a:off x="5111750" y="1771650"/>
          <a:ext cx="6350" cy="13208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273050</xdr:colOff>
      <xdr:row>6</xdr:row>
      <xdr:rowOff>165100</xdr:rowOff>
    </xdr:from>
    <xdr:to>
      <xdr:col>13</xdr:col>
      <xdr:colOff>279400</xdr:colOff>
      <xdr:row>13</xdr:row>
      <xdr:rowOff>25400</xdr:rowOff>
    </xdr:to>
    <xdr:cxnSp macro="">
      <xdr:nvCxnSpPr>
        <xdr:cNvPr id="76" name="Łącznik prosty ze strzałką 75">
          <a:extLst>
            <a:ext uri="{FF2B5EF4-FFF2-40B4-BE49-F238E27FC236}">
              <a16:creationId xmlns:a16="http://schemas.microsoft.com/office/drawing/2014/main" id="{A5831747-143B-4F02-B2AD-8A68439239E0}"/>
            </a:ext>
          </a:extLst>
        </xdr:cNvPr>
        <xdr:cNvCxnSpPr/>
      </xdr:nvCxnSpPr>
      <xdr:spPr>
        <a:xfrm flipH="1" flipV="1">
          <a:off x="5822950" y="1778000"/>
          <a:ext cx="6350" cy="1143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12</xdr:row>
      <xdr:rowOff>88900</xdr:rowOff>
    </xdr:from>
    <xdr:to>
      <xdr:col>15</xdr:col>
      <xdr:colOff>19050</xdr:colOff>
      <xdr:row>12</xdr:row>
      <xdr:rowOff>107950</xdr:rowOff>
    </xdr:to>
    <xdr:cxnSp macro="">
      <xdr:nvCxnSpPr>
        <xdr:cNvPr id="80" name="Łącznik prosty ze strzałką 79">
          <a:extLst>
            <a:ext uri="{FF2B5EF4-FFF2-40B4-BE49-F238E27FC236}">
              <a16:creationId xmlns:a16="http://schemas.microsoft.com/office/drawing/2014/main" id="{30B1F166-51D6-4BC3-BCDA-0317EE0AE3D9}"/>
            </a:ext>
          </a:extLst>
        </xdr:cNvPr>
        <xdr:cNvCxnSpPr/>
      </xdr:nvCxnSpPr>
      <xdr:spPr>
        <a:xfrm flipV="1">
          <a:off x="3765550" y="2800350"/>
          <a:ext cx="2679700" cy="19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234950</xdr:colOff>
      <xdr:row>6</xdr:row>
      <xdr:rowOff>127000</xdr:rowOff>
    </xdr:from>
    <xdr:to>
      <xdr:col>14</xdr:col>
      <xdr:colOff>241300</xdr:colOff>
      <xdr:row>12</xdr:row>
      <xdr:rowOff>82550</xdr:rowOff>
    </xdr:to>
    <xdr:cxnSp macro="">
      <xdr:nvCxnSpPr>
        <xdr:cNvPr id="86" name="Łącznik prosty ze strzałką 85">
          <a:extLst>
            <a:ext uri="{FF2B5EF4-FFF2-40B4-BE49-F238E27FC236}">
              <a16:creationId xmlns:a16="http://schemas.microsoft.com/office/drawing/2014/main" id="{34592797-B8EA-4A09-AEC7-AA147A366319}"/>
            </a:ext>
          </a:extLst>
        </xdr:cNvPr>
        <xdr:cNvCxnSpPr/>
      </xdr:nvCxnSpPr>
      <xdr:spPr>
        <a:xfrm flipV="1">
          <a:off x="6223000" y="1739900"/>
          <a:ext cx="6350" cy="10541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11</xdr:row>
      <xdr:rowOff>6350</xdr:rowOff>
    </xdr:from>
    <xdr:to>
      <xdr:col>16</xdr:col>
      <xdr:colOff>12700</xdr:colOff>
      <xdr:row>11</xdr:row>
      <xdr:rowOff>12700</xdr:rowOff>
    </xdr:to>
    <xdr:cxnSp macro="">
      <xdr:nvCxnSpPr>
        <xdr:cNvPr id="89" name="Łącznik prosty ze strzałką 88">
          <a:extLst>
            <a:ext uri="{FF2B5EF4-FFF2-40B4-BE49-F238E27FC236}">
              <a16:creationId xmlns:a16="http://schemas.microsoft.com/office/drawing/2014/main" id="{C95E952E-A481-4DE2-8293-E7CC01DBC4CB}"/>
            </a:ext>
          </a:extLst>
        </xdr:cNvPr>
        <xdr:cNvCxnSpPr/>
      </xdr:nvCxnSpPr>
      <xdr:spPr>
        <a:xfrm flipV="1">
          <a:off x="4546600" y="2533650"/>
          <a:ext cx="2330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412750</xdr:colOff>
      <xdr:row>7</xdr:row>
      <xdr:rowOff>0</xdr:rowOff>
    </xdr:from>
    <xdr:to>
      <xdr:col>15</xdr:col>
      <xdr:colOff>431800</xdr:colOff>
      <xdr:row>11</xdr:row>
      <xdr:rowOff>6350</xdr:rowOff>
    </xdr:to>
    <xdr:cxnSp macro="">
      <xdr:nvCxnSpPr>
        <xdr:cNvPr id="92" name="Łącznik prosty ze strzałką 91">
          <a:extLst>
            <a:ext uri="{FF2B5EF4-FFF2-40B4-BE49-F238E27FC236}">
              <a16:creationId xmlns:a16="http://schemas.microsoft.com/office/drawing/2014/main" id="{2BFBB84A-97D3-4938-91FA-763D7C431481}"/>
            </a:ext>
          </a:extLst>
        </xdr:cNvPr>
        <xdr:cNvCxnSpPr/>
      </xdr:nvCxnSpPr>
      <xdr:spPr>
        <a:xfrm flipV="1">
          <a:off x="6838950" y="1797050"/>
          <a:ext cx="19050" cy="736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7</xdr:row>
      <xdr:rowOff>6350</xdr:rowOff>
    </xdr:from>
    <xdr:to>
      <xdr:col>12</xdr:col>
      <xdr:colOff>25400</xdr:colOff>
      <xdr:row>7</xdr:row>
      <xdr:rowOff>6350</xdr:rowOff>
    </xdr:to>
    <xdr:cxnSp macro="">
      <xdr:nvCxnSpPr>
        <xdr:cNvPr id="96" name="Łącznik prosty ze strzałką 95">
          <a:extLst>
            <a:ext uri="{FF2B5EF4-FFF2-40B4-BE49-F238E27FC236}">
              <a16:creationId xmlns:a16="http://schemas.microsoft.com/office/drawing/2014/main" id="{0BEC3E25-44F3-4028-ADDA-6BC103A86449}"/>
            </a:ext>
          </a:extLst>
        </xdr:cNvPr>
        <xdr:cNvCxnSpPr/>
      </xdr:nvCxnSpPr>
      <xdr:spPr>
        <a:xfrm>
          <a:off x="4273550" y="1816100"/>
          <a:ext cx="86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0</xdr:rowOff>
    </xdr:from>
    <xdr:to>
      <xdr:col>15</xdr:col>
      <xdr:colOff>393700</xdr:colOff>
      <xdr:row>7</xdr:row>
      <xdr:rowOff>12700</xdr:rowOff>
    </xdr:to>
    <xdr:cxnSp macro="">
      <xdr:nvCxnSpPr>
        <xdr:cNvPr id="97" name="Łącznik prosty ze strzałką 96">
          <a:extLst>
            <a:ext uri="{FF2B5EF4-FFF2-40B4-BE49-F238E27FC236}">
              <a16:creationId xmlns:a16="http://schemas.microsoft.com/office/drawing/2014/main" id="{F15F9248-5315-4E3C-AFE4-A667F1F5C562}"/>
            </a:ext>
          </a:extLst>
        </xdr:cNvPr>
        <xdr:cNvCxnSpPr/>
      </xdr:nvCxnSpPr>
      <xdr:spPr>
        <a:xfrm flipH="1">
          <a:off x="5549900" y="1809750"/>
          <a:ext cx="1270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4</xdr:row>
      <xdr:rowOff>165100</xdr:rowOff>
    </xdr:from>
    <xdr:to>
      <xdr:col>12</xdr:col>
      <xdr:colOff>171450</xdr:colOff>
      <xdr:row>6</xdr:row>
      <xdr:rowOff>0</xdr:rowOff>
    </xdr:to>
    <xdr:cxnSp macro="">
      <xdr:nvCxnSpPr>
        <xdr:cNvPr id="103" name="Łącznik prosty ze strzałką 102">
          <a:extLst>
            <a:ext uri="{FF2B5EF4-FFF2-40B4-BE49-F238E27FC236}">
              <a16:creationId xmlns:a16="http://schemas.microsoft.com/office/drawing/2014/main" id="{0632FA10-F942-4EAE-AA4A-1CE86609A24A}"/>
            </a:ext>
          </a:extLst>
        </xdr:cNvPr>
        <xdr:cNvCxnSpPr/>
      </xdr:nvCxnSpPr>
      <xdr:spPr>
        <a:xfrm flipV="1">
          <a:off x="2533650" y="1600200"/>
          <a:ext cx="6350" cy="196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2</xdr:row>
      <xdr:rowOff>165100</xdr:rowOff>
    </xdr:from>
    <xdr:to>
      <xdr:col>12</xdr:col>
      <xdr:colOff>171450</xdr:colOff>
      <xdr:row>4</xdr:row>
      <xdr:rowOff>6350</xdr:rowOff>
    </xdr:to>
    <xdr:cxnSp macro="">
      <xdr:nvCxnSpPr>
        <xdr:cNvPr id="104" name="Łącznik prosty ze strzałką 103">
          <a:extLst>
            <a:ext uri="{FF2B5EF4-FFF2-40B4-BE49-F238E27FC236}">
              <a16:creationId xmlns:a16="http://schemas.microsoft.com/office/drawing/2014/main" id="{472A48FE-7F85-4B64-B310-1903D8C4F60D}"/>
            </a:ext>
          </a:extLst>
        </xdr:cNvPr>
        <xdr:cNvCxnSpPr/>
      </xdr:nvCxnSpPr>
      <xdr:spPr>
        <a:xfrm flipV="1">
          <a:off x="2533650" y="12382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13</xdr:row>
      <xdr:rowOff>139700</xdr:rowOff>
    </xdr:from>
    <xdr:to>
      <xdr:col>2</xdr:col>
      <xdr:colOff>139700</xdr:colOff>
      <xdr:row>15</xdr:row>
      <xdr:rowOff>12700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76F50A3B-E54A-4809-9089-0E72D4E1E848}"/>
            </a:ext>
          </a:extLst>
        </xdr:cNvPr>
        <xdr:cNvCxnSpPr/>
      </xdr:nvCxnSpPr>
      <xdr:spPr>
        <a:xfrm flipV="1">
          <a:off x="1320800" y="3232150"/>
          <a:ext cx="635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152400</xdr:rowOff>
    </xdr:from>
    <xdr:to>
      <xdr:col>2</xdr:col>
      <xdr:colOff>12700</xdr:colOff>
      <xdr:row>13</xdr:row>
      <xdr:rowOff>158750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83F8CB00-A8FF-44B0-B35F-1BE8A4C1DE41}"/>
            </a:ext>
          </a:extLst>
        </xdr:cNvPr>
        <xdr:cNvCxnSpPr/>
      </xdr:nvCxnSpPr>
      <xdr:spPr>
        <a:xfrm flipV="1">
          <a:off x="1187450" y="1968500"/>
          <a:ext cx="12700" cy="128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603250</xdr:colOff>
      <xdr:row>13</xdr:row>
      <xdr:rowOff>165100</xdr:rowOff>
    </xdr:from>
    <xdr:to>
      <xdr:col>2</xdr:col>
      <xdr:colOff>107950</xdr:colOff>
      <xdr:row>13</xdr:row>
      <xdr:rowOff>165100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C4052F9B-BB82-449D-B1BD-0209F2009FB4}"/>
            </a:ext>
          </a:extLst>
        </xdr:cNvPr>
        <xdr:cNvCxnSpPr/>
      </xdr:nvCxnSpPr>
      <xdr:spPr>
        <a:xfrm>
          <a:off x="1187450" y="3257550"/>
          <a:ext cx="107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165100</xdr:colOff>
      <xdr:row>13</xdr:row>
      <xdr:rowOff>171450</xdr:rowOff>
    </xdr:from>
    <xdr:to>
      <xdr:col>9</xdr:col>
      <xdr:colOff>387350</xdr:colOff>
      <xdr:row>14</xdr:row>
      <xdr:rowOff>6350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33DD05CA-5197-431B-A7B7-6B4F7EF4F1D8}"/>
            </a:ext>
          </a:extLst>
        </xdr:cNvPr>
        <xdr:cNvCxnSpPr/>
      </xdr:nvCxnSpPr>
      <xdr:spPr>
        <a:xfrm>
          <a:off x="1352550" y="3263900"/>
          <a:ext cx="29781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12</xdr:row>
      <xdr:rowOff>152400</xdr:rowOff>
    </xdr:from>
    <xdr:to>
      <xdr:col>4</xdr:col>
      <xdr:colOff>222250</xdr:colOff>
      <xdr:row>14</xdr:row>
      <xdr:rowOff>171450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27A2ACA3-7111-4C6D-A2CE-A0A9D749CB43}"/>
            </a:ext>
          </a:extLst>
        </xdr:cNvPr>
        <xdr:cNvCxnSpPr/>
      </xdr:nvCxnSpPr>
      <xdr:spPr>
        <a:xfrm flipV="1">
          <a:off x="2190750" y="3067050"/>
          <a:ext cx="6350" cy="3746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12</xdr:row>
      <xdr:rowOff>165100</xdr:rowOff>
    </xdr:from>
    <xdr:to>
      <xdr:col>4</xdr:col>
      <xdr:colOff>209550</xdr:colOff>
      <xdr:row>13</xdr:row>
      <xdr:rowOff>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5152DA7C-9F01-49DD-B92E-118D1D923B17}"/>
            </a:ext>
          </a:extLst>
        </xdr:cNvPr>
        <xdr:cNvCxnSpPr/>
      </xdr:nvCxnSpPr>
      <xdr:spPr>
        <a:xfrm flipH="1">
          <a:off x="1524000" y="3079750"/>
          <a:ext cx="660400" cy="127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13</xdr:row>
      <xdr:rowOff>6350</xdr:rowOff>
    </xdr:from>
    <xdr:to>
      <xdr:col>12</xdr:col>
      <xdr:colOff>107950</xdr:colOff>
      <xdr:row>13</xdr:row>
      <xdr:rowOff>6350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CDD8D5E8-B3F2-4337-867C-53B4BF87FDC6}"/>
            </a:ext>
          </a:extLst>
        </xdr:cNvPr>
        <xdr:cNvCxnSpPr/>
      </xdr:nvCxnSpPr>
      <xdr:spPr>
        <a:xfrm>
          <a:off x="2241550" y="3098800"/>
          <a:ext cx="297815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</xdr:row>
      <xdr:rowOff>158750</xdr:rowOff>
    </xdr:from>
    <xdr:to>
      <xdr:col>3</xdr:col>
      <xdr:colOff>25400</xdr:colOff>
      <xdr:row>12</xdr:row>
      <xdr:rowOff>146050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43C13BF5-E0A9-4CAB-8EF4-EC56E3673971}"/>
            </a:ext>
          </a:extLst>
        </xdr:cNvPr>
        <xdr:cNvCxnSpPr/>
      </xdr:nvCxnSpPr>
      <xdr:spPr>
        <a:xfrm flipV="1">
          <a:off x="1581150" y="1974850"/>
          <a:ext cx="25400" cy="10858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11</xdr:row>
      <xdr:rowOff>139700</xdr:rowOff>
    </xdr:from>
    <xdr:to>
      <xdr:col>6</xdr:col>
      <xdr:colOff>158750</xdr:colOff>
      <xdr:row>15</xdr:row>
      <xdr:rowOff>6350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6E54FC2F-8B12-44B4-9A90-FD89C4233B74}"/>
            </a:ext>
          </a:extLst>
        </xdr:cNvPr>
        <xdr:cNvCxnSpPr/>
      </xdr:nvCxnSpPr>
      <xdr:spPr>
        <a:xfrm flipV="1">
          <a:off x="2921000" y="2870200"/>
          <a:ext cx="0" cy="59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11</xdr:row>
      <xdr:rowOff>171450</xdr:rowOff>
    </xdr:from>
    <xdr:to>
      <xdr:col>6</xdr:col>
      <xdr:colOff>146050</xdr:colOff>
      <xdr:row>11</xdr:row>
      <xdr:rowOff>177800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F145C69D-F61F-4215-8965-9966622AB30B}"/>
            </a:ext>
          </a:extLst>
        </xdr:cNvPr>
        <xdr:cNvCxnSpPr/>
      </xdr:nvCxnSpPr>
      <xdr:spPr>
        <a:xfrm flipH="1" flipV="1">
          <a:off x="2190750" y="2901950"/>
          <a:ext cx="7175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7</xdr:row>
      <xdr:rowOff>19050</xdr:rowOff>
    </xdr:from>
    <xdr:to>
      <xdr:col>4</xdr:col>
      <xdr:colOff>234950</xdr:colOff>
      <xdr:row>11</xdr:row>
      <xdr:rowOff>146050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50864353-3E9A-4CBB-94DA-7549A5CAAF2A}"/>
            </a:ext>
          </a:extLst>
        </xdr:cNvPr>
        <xdr:cNvCxnSpPr/>
      </xdr:nvCxnSpPr>
      <xdr:spPr>
        <a:xfrm flipV="1">
          <a:off x="2209800" y="2019300"/>
          <a:ext cx="0" cy="857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146050</xdr:colOff>
      <xdr:row>11</xdr:row>
      <xdr:rowOff>171450</xdr:rowOff>
    </xdr:from>
    <xdr:to>
      <xdr:col>13</xdr:col>
      <xdr:colOff>298450</xdr:colOff>
      <xdr:row>11</xdr:row>
      <xdr:rowOff>177800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FE53731C-9509-41A2-854C-21A97503D428}"/>
            </a:ext>
          </a:extLst>
        </xdr:cNvPr>
        <xdr:cNvCxnSpPr/>
      </xdr:nvCxnSpPr>
      <xdr:spPr>
        <a:xfrm flipV="1">
          <a:off x="2908300" y="2901950"/>
          <a:ext cx="29400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10</xdr:row>
      <xdr:rowOff>158750</xdr:rowOff>
    </xdr:from>
    <xdr:to>
      <xdr:col>8</xdr:col>
      <xdr:colOff>203200</xdr:colOff>
      <xdr:row>14</xdr:row>
      <xdr:rowOff>158750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CB3C815A-7A30-40C9-8611-BF51CEA62C36}"/>
            </a:ext>
          </a:extLst>
        </xdr:cNvPr>
        <xdr:cNvCxnSpPr/>
      </xdr:nvCxnSpPr>
      <xdr:spPr>
        <a:xfrm flipV="1">
          <a:off x="3752850" y="2705100"/>
          <a:ext cx="0" cy="7239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11</xdr:row>
      <xdr:rowOff>0</xdr:rowOff>
    </xdr:from>
    <xdr:to>
      <xdr:col>8</xdr:col>
      <xdr:colOff>152400</xdr:colOff>
      <xdr:row>11</xdr:row>
      <xdr:rowOff>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07AD846E-132B-4E61-8B67-181E295EAD1A}"/>
            </a:ext>
          </a:extLst>
        </xdr:cNvPr>
        <xdr:cNvCxnSpPr/>
      </xdr:nvCxnSpPr>
      <xdr:spPr>
        <a:xfrm flipH="1">
          <a:off x="2749550" y="2730500"/>
          <a:ext cx="952500" cy="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12700</xdr:rowOff>
    </xdr:from>
    <xdr:to>
      <xdr:col>6</xdr:col>
      <xdr:colOff>0</xdr:colOff>
      <xdr:row>11</xdr:row>
      <xdr:rowOff>19050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9049128E-CA67-4129-9B6A-10916256F156}"/>
            </a:ext>
          </a:extLst>
        </xdr:cNvPr>
        <xdr:cNvCxnSpPr/>
      </xdr:nvCxnSpPr>
      <xdr:spPr>
        <a:xfrm flipV="1">
          <a:off x="2762250" y="2012950"/>
          <a:ext cx="0" cy="7366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196850</xdr:colOff>
      <xdr:row>9</xdr:row>
      <xdr:rowOff>158750</xdr:rowOff>
    </xdr:from>
    <xdr:to>
      <xdr:col>10</xdr:col>
      <xdr:colOff>203200</xdr:colOff>
      <xdr:row>14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F994ED4B-99B7-4520-AD0E-E16AA59C1AC5}"/>
            </a:ext>
          </a:extLst>
        </xdr:cNvPr>
        <xdr:cNvCxnSpPr/>
      </xdr:nvCxnSpPr>
      <xdr:spPr>
        <a:xfrm flipH="1" flipV="1">
          <a:off x="4533900" y="2527300"/>
          <a:ext cx="635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9</xdr:row>
      <xdr:rowOff>165100</xdr:rowOff>
    </xdr:from>
    <xdr:to>
      <xdr:col>10</xdr:col>
      <xdr:colOff>196850</xdr:colOff>
      <xdr:row>10</xdr:row>
      <xdr:rowOff>6350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BF3490AE-FFAC-4604-BA23-32EC7A12BC5A}"/>
            </a:ext>
          </a:extLst>
        </xdr:cNvPr>
        <xdr:cNvCxnSpPr/>
      </xdr:nvCxnSpPr>
      <xdr:spPr>
        <a:xfrm flipH="1" flipV="1">
          <a:off x="3517900" y="2533650"/>
          <a:ext cx="1016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7</xdr:row>
      <xdr:rowOff>0</xdr:rowOff>
    </xdr:from>
    <xdr:to>
      <xdr:col>8</xdr:col>
      <xdr:colOff>12700</xdr:colOff>
      <xdr:row>10</xdr:row>
      <xdr:rowOff>31750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2E99915E-5FA0-4EAE-902E-EDEF30FCB8EF}"/>
            </a:ext>
          </a:extLst>
        </xdr:cNvPr>
        <xdr:cNvCxnSpPr/>
      </xdr:nvCxnSpPr>
      <xdr:spPr>
        <a:xfrm flipV="1">
          <a:off x="3556000" y="2000250"/>
          <a:ext cx="6350" cy="577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7</xdr:row>
      <xdr:rowOff>0</xdr:rowOff>
    </xdr:from>
    <xdr:to>
      <xdr:col>8</xdr:col>
      <xdr:colOff>19050</xdr:colOff>
      <xdr:row>7</xdr:row>
      <xdr:rowOff>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459C2803-2EF5-461C-BDEA-E6066AC1FD94}"/>
            </a:ext>
          </a:extLst>
        </xdr:cNvPr>
        <xdr:cNvCxnSpPr/>
      </xdr:nvCxnSpPr>
      <xdr:spPr>
        <a:xfrm flipH="1">
          <a:off x="2774950" y="2000250"/>
          <a:ext cx="793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6</xdr:row>
      <xdr:rowOff>171450</xdr:rowOff>
    </xdr:from>
    <xdr:to>
      <xdr:col>5</xdr:col>
      <xdr:colOff>38100</xdr:colOff>
      <xdr:row>7</xdr:row>
      <xdr:rowOff>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9C990676-7DFF-4432-A894-A8387057CC11}"/>
            </a:ext>
          </a:extLst>
        </xdr:cNvPr>
        <xdr:cNvCxnSpPr/>
      </xdr:nvCxnSpPr>
      <xdr:spPr>
        <a:xfrm flipV="1">
          <a:off x="1193800" y="1987550"/>
          <a:ext cx="12128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4</xdr:row>
      <xdr:rowOff>165100</xdr:rowOff>
    </xdr:from>
    <xdr:to>
      <xdr:col>5</xdr:col>
      <xdr:colOff>171450</xdr:colOff>
      <xdr:row>6</xdr:row>
      <xdr:rowOff>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4A960290-15C2-4916-A5F4-0CCF5F956C9C}"/>
            </a:ext>
          </a:extLst>
        </xdr:cNvPr>
        <xdr:cNvCxnSpPr/>
      </xdr:nvCxnSpPr>
      <xdr:spPr>
        <a:xfrm flipV="1">
          <a:off x="2533650" y="161290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2</xdr:row>
      <xdr:rowOff>165100</xdr:rowOff>
    </xdr:from>
    <xdr:to>
      <xdr:col>5</xdr:col>
      <xdr:colOff>171450</xdr:colOff>
      <xdr:row>4</xdr:row>
      <xdr:rowOff>6350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1212DA17-C1AC-4E2F-9FBA-5DFD7A5AEC8B}"/>
            </a:ext>
          </a:extLst>
        </xdr:cNvPr>
        <xdr:cNvCxnSpPr/>
      </xdr:nvCxnSpPr>
      <xdr:spPr>
        <a:xfrm flipV="1">
          <a:off x="2533650" y="124460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374650</xdr:colOff>
      <xdr:row>5</xdr:row>
      <xdr:rowOff>152400</xdr:rowOff>
    </xdr:from>
    <xdr:to>
      <xdr:col>9</xdr:col>
      <xdr:colOff>387350</xdr:colOff>
      <xdr:row>14</xdr:row>
      <xdr:rowOff>19050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4D5CE6AC-3056-4675-9F2A-EC50910A37B4}"/>
            </a:ext>
          </a:extLst>
        </xdr:cNvPr>
        <xdr:cNvCxnSpPr/>
      </xdr:nvCxnSpPr>
      <xdr:spPr>
        <a:xfrm flipH="1" flipV="1">
          <a:off x="4318000" y="1784350"/>
          <a:ext cx="1270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158750</xdr:rowOff>
    </xdr:from>
    <xdr:to>
      <xdr:col>12</xdr:col>
      <xdr:colOff>6350</xdr:colOff>
      <xdr:row>13</xdr:row>
      <xdr:rowOff>19050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75253591-5ECC-4638-B052-5E56E6E539BC}"/>
            </a:ext>
          </a:extLst>
        </xdr:cNvPr>
        <xdr:cNvCxnSpPr/>
      </xdr:nvCxnSpPr>
      <xdr:spPr>
        <a:xfrm flipH="1" flipV="1">
          <a:off x="5111750" y="1790700"/>
          <a:ext cx="6350" cy="13208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273050</xdr:colOff>
      <xdr:row>5</xdr:row>
      <xdr:rowOff>165100</xdr:rowOff>
    </xdr:from>
    <xdr:to>
      <xdr:col>13</xdr:col>
      <xdr:colOff>279400</xdr:colOff>
      <xdr:row>12</xdr:row>
      <xdr:rowOff>25400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351280ED-9700-42FE-ACC5-FCAEF0790C8C}"/>
            </a:ext>
          </a:extLst>
        </xdr:cNvPr>
        <xdr:cNvCxnSpPr/>
      </xdr:nvCxnSpPr>
      <xdr:spPr>
        <a:xfrm flipH="1" flipV="1">
          <a:off x="5822950" y="1797050"/>
          <a:ext cx="6350" cy="1143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11</xdr:row>
      <xdr:rowOff>88900</xdr:rowOff>
    </xdr:from>
    <xdr:to>
      <xdr:col>15</xdr:col>
      <xdr:colOff>19050</xdr:colOff>
      <xdr:row>11</xdr:row>
      <xdr:rowOff>107950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61C36557-935A-43DE-AE51-C6ACB9923B3F}"/>
            </a:ext>
          </a:extLst>
        </xdr:cNvPr>
        <xdr:cNvCxnSpPr/>
      </xdr:nvCxnSpPr>
      <xdr:spPr>
        <a:xfrm flipV="1">
          <a:off x="3765550" y="2819400"/>
          <a:ext cx="2679700" cy="19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234950</xdr:colOff>
      <xdr:row>5</xdr:row>
      <xdr:rowOff>127000</xdr:rowOff>
    </xdr:from>
    <xdr:to>
      <xdr:col>14</xdr:col>
      <xdr:colOff>241300</xdr:colOff>
      <xdr:row>11</xdr:row>
      <xdr:rowOff>82550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B125CC26-7706-40ED-896E-81BEBF86C04D}"/>
            </a:ext>
          </a:extLst>
        </xdr:cNvPr>
        <xdr:cNvCxnSpPr/>
      </xdr:nvCxnSpPr>
      <xdr:spPr>
        <a:xfrm flipV="1">
          <a:off x="6223000" y="1758950"/>
          <a:ext cx="6350" cy="10541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10</xdr:row>
      <xdr:rowOff>6350</xdr:rowOff>
    </xdr:from>
    <xdr:to>
      <xdr:col>16</xdr:col>
      <xdr:colOff>12700</xdr:colOff>
      <xdr:row>10</xdr:row>
      <xdr:rowOff>12700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0677933D-FF84-40F8-A4DB-A37D59B1C4EC}"/>
            </a:ext>
          </a:extLst>
        </xdr:cNvPr>
        <xdr:cNvCxnSpPr/>
      </xdr:nvCxnSpPr>
      <xdr:spPr>
        <a:xfrm flipV="1">
          <a:off x="4546600" y="2552700"/>
          <a:ext cx="2330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412750</xdr:colOff>
      <xdr:row>6</xdr:row>
      <xdr:rowOff>0</xdr:rowOff>
    </xdr:from>
    <xdr:to>
      <xdr:col>15</xdr:col>
      <xdr:colOff>431800</xdr:colOff>
      <xdr:row>10</xdr:row>
      <xdr:rowOff>6350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05E73AA3-8374-4C8C-89D2-6FDC63EB67D3}"/>
            </a:ext>
          </a:extLst>
        </xdr:cNvPr>
        <xdr:cNvCxnSpPr/>
      </xdr:nvCxnSpPr>
      <xdr:spPr>
        <a:xfrm flipV="1">
          <a:off x="6838950" y="1816100"/>
          <a:ext cx="19050" cy="736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6</xdr:row>
      <xdr:rowOff>6350</xdr:rowOff>
    </xdr:from>
    <xdr:to>
      <xdr:col>12</xdr:col>
      <xdr:colOff>25400</xdr:colOff>
      <xdr:row>6</xdr:row>
      <xdr:rowOff>6350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62BE2FC8-D8FD-42A6-9152-C249E643A053}"/>
            </a:ext>
          </a:extLst>
        </xdr:cNvPr>
        <xdr:cNvCxnSpPr/>
      </xdr:nvCxnSpPr>
      <xdr:spPr>
        <a:xfrm>
          <a:off x="4273550" y="1822450"/>
          <a:ext cx="86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393700</xdr:colOff>
      <xdr:row>6</xdr:row>
      <xdr:rowOff>12700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85B20087-1FA1-47DF-A5C7-36B0ED1488DC}"/>
            </a:ext>
          </a:extLst>
        </xdr:cNvPr>
        <xdr:cNvCxnSpPr/>
      </xdr:nvCxnSpPr>
      <xdr:spPr>
        <a:xfrm flipH="1">
          <a:off x="5549900" y="1816100"/>
          <a:ext cx="1270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3</xdr:row>
      <xdr:rowOff>165100</xdr:rowOff>
    </xdr:from>
    <xdr:to>
      <xdr:col>12</xdr:col>
      <xdr:colOff>171450</xdr:colOff>
      <xdr:row>5</xdr:row>
      <xdr:rowOff>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1C0D017D-978C-464E-ACE2-DE399173AE4F}"/>
            </a:ext>
          </a:extLst>
        </xdr:cNvPr>
        <xdr:cNvCxnSpPr/>
      </xdr:nvCxnSpPr>
      <xdr:spPr>
        <a:xfrm flipV="1">
          <a:off x="5276850" y="14287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1</xdr:row>
      <xdr:rowOff>165100</xdr:rowOff>
    </xdr:from>
    <xdr:to>
      <xdr:col>12</xdr:col>
      <xdr:colOff>171450</xdr:colOff>
      <xdr:row>3</xdr:row>
      <xdr:rowOff>6350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6C942115-50BF-4209-B943-1787C33C43C4}"/>
            </a:ext>
          </a:extLst>
        </xdr:cNvPr>
        <xdr:cNvCxnSpPr/>
      </xdr:nvCxnSpPr>
      <xdr:spPr>
        <a:xfrm flipV="1">
          <a:off x="5276850" y="106045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13</xdr:row>
      <xdr:rowOff>139700</xdr:rowOff>
    </xdr:from>
    <xdr:to>
      <xdr:col>2</xdr:col>
      <xdr:colOff>139700</xdr:colOff>
      <xdr:row>15</xdr:row>
      <xdr:rowOff>12700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F7D01967-F980-4B48-A3F6-1922711789C8}"/>
            </a:ext>
          </a:extLst>
        </xdr:cNvPr>
        <xdr:cNvCxnSpPr/>
      </xdr:nvCxnSpPr>
      <xdr:spPr>
        <a:xfrm flipV="1">
          <a:off x="1320800" y="3232150"/>
          <a:ext cx="635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152400</xdr:rowOff>
    </xdr:from>
    <xdr:to>
      <xdr:col>2</xdr:col>
      <xdr:colOff>12700</xdr:colOff>
      <xdr:row>13</xdr:row>
      <xdr:rowOff>158750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A471E0DD-AEC6-441E-B3DF-5B461426FB54}"/>
            </a:ext>
          </a:extLst>
        </xdr:cNvPr>
        <xdr:cNvCxnSpPr/>
      </xdr:nvCxnSpPr>
      <xdr:spPr>
        <a:xfrm flipV="1">
          <a:off x="1187450" y="1968500"/>
          <a:ext cx="12700" cy="128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603250</xdr:colOff>
      <xdr:row>13</xdr:row>
      <xdr:rowOff>165100</xdr:rowOff>
    </xdr:from>
    <xdr:to>
      <xdr:col>2</xdr:col>
      <xdr:colOff>107950</xdr:colOff>
      <xdr:row>13</xdr:row>
      <xdr:rowOff>165100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D8AE5682-8422-462A-A7F6-C12D5082A319}"/>
            </a:ext>
          </a:extLst>
        </xdr:cNvPr>
        <xdr:cNvCxnSpPr/>
      </xdr:nvCxnSpPr>
      <xdr:spPr>
        <a:xfrm>
          <a:off x="1187450" y="3257550"/>
          <a:ext cx="107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165100</xdr:colOff>
      <xdr:row>13</xdr:row>
      <xdr:rowOff>171450</xdr:rowOff>
    </xdr:from>
    <xdr:to>
      <xdr:col>9</xdr:col>
      <xdr:colOff>387350</xdr:colOff>
      <xdr:row>14</xdr:row>
      <xdr:rowOff>6350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AA9293DF-C35A-4C5E-9DE9-3142172B1B9D}"/>
            </a:ext>
          </a:extLst>
        </xdr:cNvPr>
        <xdr:cNvCxnSpPr/>
      </xdr:nvCxnSpPr>
      <xdr:spPr>
        <a:xfrm>
          <a:off x="1352550" y="3263900"/>
          <a:ext cx="29781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12</xdr:row>
      <xdr:rowOff>152400</xdr:rowOff>
    </xdr:from>
    <xdr:to>
      <xdr:col>4</xdr:col>
      <xdr:colOff>222250</xdr:colOff>
      <xdr:row>14</xdr:row>
      <xdr:rowOff>171450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F1652C0A-2048-492C-ABA1-E63B0E6656AD}"/>
            </a:ext>
          </a:extLst>
        </xdr:cNvPr>
        <xdr:cNvCxnSpPr/>
      </xdr:nvCxnSpPr>
      <xdr:spPr>
        <a:xfrm flipV="1">
          <a:off x="2190750" y="3067050"/>
          <a:ext cx="6350" cy="3746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12</xdr:row>
      <xdr:rowOff>165100</xdr:rowOff>
    </xdr:from>
    <xdr:to>
      <xdr:col>4</xdr:col>
      <xdr:colOff>209550</xdr:colOff>
      <xdr:row>13</xdr:row>
      <xdr:rowOff>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8A39F4C1-5DC5-42D8-9CE9-B4CD27D4F804}"/>
            </a:ext>
          </a:extLst>
        </xdr:cNvPr>
        <xdr:cNvCxnSpPr/>
      </xdr:nvCxnSpPr>
      <xdr:spPr>
        <a:xfrm flipH="1">
          <a:off x="1524000" y="3079750"/>
          <a:ext cx="660400" cy="127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13</xdr:row>
      <xdr:rowOff>6350</xdr:rowOff>
    </xdr:from>
    <xdr:to>
      <xdr:col>12</xdr:col>
      <xdr:colOff>107950</xdr:colOff>
      <xdr:row>13</xdr:row>
      <xdr:rowOff>6350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9A6D65DC-23FB-4DD1-9B7F-B86D39C47A45}"/>
            </a:ext>
          </a:extLst>
        </xdr:cNvPr>
        <xdr:cNvCxnSpPr/>
      </xdr:nvCxnSpPr>
      <xdr:spPr>
        <a:xfrm>
          <a:off x="2241550" y="3098800"/>
          <a:ext cx="297815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</xdr:row>
      <xdr:rowOff>158750</xdr:rowOff>
    </xdr:from>
    <xdr:to>
      <xdr:col>3</xdr:col>
      <xdr:colOff>25400</xdr:colOff>
      <xdr:row>12</xdr:row>
      <xdr:rowOff>146050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7E69E964-E191-42BA-8EAF-297762AF9C1E}"/>
            </a:ext>
          </a:extLst>
        </xdr:cNvPr>
        <xdr:cNvCxnSpPr/>
      </xdr:nvCxnSpPr>
      <xdr:spPr>
        <a:xfrm flipV="1">
          <a:off x="1581150" y="1974850"/>
          <a:ext cx="25400" cy="10858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11</xdr:row>
      <xdr:rowOff>139700</xdr:rowOff>
    </xdr:from>
    <xdr:to>
      <xdr:col>6</xdr:col>
      <xdr:colOff>158750</xdr:colOff>
      <xdr:row>15</xdr:row>
      <xdr:rowOff>6350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06B13A9B-903A-4F51-AD10-2FB5DD7778D7}"/>
            </a:ext>
          </a:extLst>
        </xdr:cNvPr>
        <xdr:cNvCxnSpPr/>
      </xdr:nvCxnSpPr>
      <xdr:spPr>
        <a:xfrm flipV="1">
          <a:off x="2921000" y="2870200"/>
          <a:ext cx="0" cy="59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11</xdr:row>
      <xdr:rowOff>171450</xdr:rowOff>
    </xdr:from>
    <xdr:to>
      <xdr:col>6</xdr:col>
      <xdr:colOff>146050</xdr:colOff>
      <xdr:row>11</xdr:row>
      <xdr:rowOff>177800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1F0204F7-B9CF-424F-86EC-FAA3B62EA81F}"/>
            </a:ext>
          </a:extLst>
        </xdr:cNvPr>
        <xdr:cNvCxnSpPr/>
      </xdr:nvCxnSpPr>
      <xdr:spPr>
        <a:xfrm flipH="1" flipV="1">
          <a:off x="2190750" y="2901950"/>
          <a:ext cx="7175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7</xdr:row>
      <xdr:rowOff>19050</xdr:rowOff>
    </xdr:from>
    <xdr:to>
      <xdr:col>4</xdr:col>
      <xdr:colOff>234950</xdr:colOff>
      <xdr:row>11</xdr:row>
      <xdr:rowOff>146050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F0EA801C-60F6-46AC-8CE5-442C7146BB77}"/>
            </a:ext>
          </a:extLst>
        </xdr:cNvPr>
        <xdr:cNvCxnSpPr/>
      </xdr:nvCxnSpPr>
      <xdr:spPr>
        <a:xfrm flipV="1">
          <a:off x="2209800" y="2019300"/>
          <a:ext cx="0" cy="857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146050</xdr:colOff>
      <xdr:row>11</xdr:row>
      <xdr:rowOff>171450</xdr:rowOff>
    </xdr:from>
    <xdr:to>
      <xdr:col>13</xdr:col>
      <xdr:colOff>298450</xdr:colOff>
      <xdr:row>11</xdr:row>
      <xdr:rowOff>177800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D78E510A-5D70-4F73-AD4B-8F3F9E9CA494}"/>
            </a:ext>
          </a:extLst>
        </xdr:cNvPr>
        <xdr:cNvCxnSpPr/>
      </xdr:nvCxnSpPr>
      <xdr:spPr>
        <a:xfrm flipV="1">
          <a:off x="2908300" y="2901950"/>
          <a:ext cx="29400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10</xdr:row>
      <xdr:rowOff>158750</xdr:rowOff>
    </xdr:from>
    <xdr:to>
      <xdr:col>8</xdr:col>
      <xdr:colOff>203200</xdr:colOff>
      <xdr:row>14</xdr:row>
      <xdr:rowOff>158750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B6777DED-9F76-40EF-9AE8-B12D0C9A1B22}"/>
            </a:ext>
          </a:extLst>
        </xdr:cNvPr>
        <xdr:cNvCxnSpPr/>
      </xdr:nvCxnSpPr>
      <xdr:spPr>
        <a:xfrm flipV="1">
          <a:off x="3752850" y="2705100"/>
          <a:ext cx="0" cy="7239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11</xdr:row>
      <xdr:rowOff>0</xdr:rowOff>
    </xdr:from>
    <xdr:to>
      <xdr:col>8</xdr:col>
      <xdr:colOff>152400</xdr:colOff>
      <xdr:row>11</xdr:row>
      <xdr:rowOff>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80CFD56E-EA59-4F1D-93C8-E611C765D668}"/>
            </a:ext>
          </a:extLst>
        </xdr:cNvPr>
        <xdr:cNvCxnSpPr/>
      </xdr:nvCxnSpPr>
      <xdr:spPr>
        <a:xfrm flipH="1">
          <a:off x="2749550" y="2730500"/>
          <a:ext cx="952500" cy="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12700</xdr:rowOff>
    </xdr:from>
    <xdr:to>
      <xdr:col>6</xdr:col>
      <xdr:colOff>0</xdr:colOff>
      <xdr:row>11</xdr:row>
      <xdr:rowOff>19050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F95EBA44-0984-49A0-8581-FC68FE57D413}"/>
            </a:ext>
          </a:extLst>
        </xdr:cNvPr>
        <xdr:cNvCxnSpPr/>
      </xdr:nvCxnSpPr>
      <xdr:spPr>
        <a:xfrm flipV="1">
          <a:off x="2762250" y="2012950"/>
          <a:ext cx="0" cy="7366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196850</xdr:colOff>
      <xdr:row>9</xdr:row>
      <xdr:rowOff>158750</xdr:rowOff>
    </xdr:from>
    <xdr:to>
      <xdr:col>10</xdr:col>
      <xdr:colOff>203200</xdr:colOff>
      <xdr:row>14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1C59F39D-1B28-40A6-8EF7-D6082F36AC78}"/>
            </a:ext>
          </a:extLst>
        </xdr:cNvPr>
        <xdr:cNvCxnSpPr/>
      </xdr:nvCxnSpPr>
      <xdr:spPr>
        <a:xfrm flipH="1" flipV="1">
          <a:off x="4533900" y="2527300"/>
          <a:ext cx="635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9</xdr:row>
      <xdr:rowOff>165100</xdr:rowOff>
    </xdr:from>
    <xdr:to>
      <xdr:col>10</xdr:col>
      <xdr:colOff>196850</xdr:colOff>
      <xdr:row>10</xdr:row>
      <xdr:rowOff>6350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930FD978-C209-4120-B0B1-0D94BBE0430F}"/>
            </a:ext>
          </a:extLst>
        </xdr:cNvPr>
        <xdr:cNvCxnSpPr/>
      </xdr:nvCxnSpPr>
      <xdr:spPr>
        <a:xfrm flipH="1" flipV="1">
          <a:off x="3517900" y="2533650"/>
          <a:ext cx="1016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7</xdr:row>
      <xdr:rowOff>0</xdr:rowOff>
    </xdr:from>
    <xdr:to>
      <xdr:col>8</xdr:col>
      <xdr:colOff>12700</xdr:colOff>
      <xdr:row>10</xdr:row>
      <xdr:rowOff>31750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978A7972-756D-4C04-A547-6F258B4606B2}"/>
            </a:ext>
          </a:extLst>
        </xdr:cNvPr>
        <xdr:cNvCxnSpPr/>
      </xdr:nvCxnSpPr>
      <xdr:spPr>
        <a:xfrm flipV="1">
          <a:off x="3556000" y="2000250"/>
          <a:ext cx="6350" cy="577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7</xdr:row>
      <xdr:rowOff>0</xdr:rowOff>
    </xdr:from>
    <xdr:to>
      <xdr:col>8</xdr:col>
      <xdr:colOff>19050</xdr:colOff>
      <xdr:row>7</xdr:row>
      <xdr:rowOff>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BBB655C6-355C-4889-B119-B536CB2D8B4D}"/>
            </a:ext>
          </a:extLst>
        </xdr:cNvPr>
        <xdr:cNvCxnSpPr/>
      </xdr:nvCxnSpPr>
      <xdr:spPr>
        <a:xfrm flipH="1">
          <a:off x="2774950" y="2000250"/>
          <a:ext cx="793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6</xdr:row>
      <xdr:rowOff>171450</xdr:rowOff>
    </xdr:from>
    <xdr:to>
      <xdr:col>5</xdr:col>
      <xdr:colOff>38100</xdr:colOff>
      <xdr:row>7</xdr:row>
      <xdr:rowOff>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D134FC0B-E6CC-48A2-BBBA-E2F0AA061889}"/>
            </a:ext>
          </a:extLst>
        </xdr:cNvPr>
        <xdr:cNvCxnSpPr/>
      </xdr:nvCxnSpPr>
      <xdr:spPr>
        <a:xfrm flipV="1">
          <a:off x="1193800" y="1987550"/>
          <a:ext cx="12128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4</xdr:row>
      <xdr:rowOff>165100</xdr:rowOff>
    </xdr:from>
    <xdr:to>
      <xdr:col>5</xdr:col>
      <xdr:colOff>171450</xdr:colOff>
      <xdr:row>6</xdr:row>
      <xdr:rowOff>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BEA60E0B-5932-4A63-AD80-31EBFEC38A44}"/>
            </a:ext>
          </a:extLst>
        </xdr:cNvPr>
        <xdr:cNvCxnSpPr/>
      </xdr:nvCxnSpPr>
      <xdr:spPr>
        <a:xfrm flipV="1">
          <a:off x="2533650" y="161290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2</xdr:row>
      <xdr:rowOff>165100</xdr:rowOff>
    </xdr:from>
    <xdr:to>
      <xdr:col>5</xdr:col>
      <xdr:colOff>171450</xdr:colOff>
      <xdr:row>4</xdr:row>
      <xdr:rowOff>6350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344B6F89-1FCC-4622-B250-F2051ADDEF42}"/>
            </a:ext>
          </a:extLst>
        </xdr:cNvPr>
        <xdr:cNvCxnSpPr/>
      </xdr:nvCxnSpPr>
      <xdr:spPr>
        <a:xfrm flipV="1">
          <a:off x="2533650" y="124460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374650</xdr:colOff>
      <xdr:row>5</xdr:row>
      <xdr:rowOff>152400</xdr:rowOff>
    </xdr:from>
    <xdr:to>
      <xdr:col>9</xdr:col>
      <xdr:colOff>387350</xdr:colOff>
      <xdr:row>14</xdr:row>
      <xdr:rowOff>19050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9D3D02D5-5E04-4AB7-B977-8D1E076318B8}"/>
            </a:ext>
          </a:extLst>
        </xdr:cNvPr>
        <xdr:cNvCxnSpPr/>
      </xdr:nvCxnSpPr>
      <xdr:spPr>
        <a:xfrm flipH="1" flipV="1">
          <a:off x="4318000" y="1784350"/>
          <a:ext cx="1270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</xdr:row>
      <xdr:rowOff>158750</xdr:rowOff>
    </xdr:from>
    <xdr:to>
      <xdr:col>12</xdr:col>
      <xdr:colOff>6350</xdr:colOff>
      <xdr:row>13</xdr:row>
      <xdr:rowOff>19050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A843B0A6-ADBE-4DB2-97B6-7E7E1467A655}"/>
            </a:ext>
          </a:extLst>
        </xdr:cNvPr>
        <xdr:cNvCxnSpPr/>
      </xdr:nvCxnSpPr>
      <xdr:spPr>
        <a:xfrm flipH="1" flipV="1">
          <a:off x="5111750" y="1790700"/>
          <a:ext cx="6350" cy="13208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273050</xdr:colOff>
      <xdr:row>5</xdr:row>
      <xdr:rowOff>165100</xdr:rowOff>
    </xdr:from>
    <xdr:to>
      <xdr:col>13</xdr:col>
      <xdr:colOff>279400</xdr:colOff>
      <xdr:row>12</xdr:row>
      <xdr:rowOff>25400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F0FD0B87-C130-4009-B718-2374CD951D2D}"/>
            </a:ext>
          </a:extLst>
        </xdr:cNvPr>
        <xdr:cNvCxnSpPr/>
      </xdr:nvCxnSpPr>
      <xdr:spPr>
        <a:xfrm flipH="1" flipV="1">
          <a:off x="5822950" y="1797050"/>
          <a:ext cx="6350" cy="1143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11</xdr:row>
      <xdr:rowOff>88900</xdr:rowOff>
    </xdr:from>
    <xdr:to>
      <xdr:col>15</xdr:col>
      <xdr:colOff>19050</xdr:colOff>
      <xdr:row>11</xdr:row>
      <xdr:rowOff>107950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906CA6C9-4FE8-42CF-8334-47BE4D4F4209}"/>
            </a:ext>
          </a:extLst>
        </xdr:cNvPr>
        <xdr:cNvCxnSpPr/>
      </xdr:nvCxnSpPr>
      <xdr:spPr>
        <a:xfrm flipV="1">
          <a:off x="3765550" y="2819400"/>
          <a:ext cx="2679700" cy="19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234950</xdr:colOff>
      <xdr:row>5</xdr:row>
      <xdr:rowOff>127000</xdr:rowOff>
    </xdr:from>
    <xdr:to>
      <xdr:col>14</xdr:col>
      <xdr:colOff>241300</xdr:colOff>
      <xdr:row>11</xdr:row>
      <xdr:rowOff>82550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5A38DBEE-669B-4D2C-97A2-5A89F5498311}"/>
            </a:ext>
          </a:extLst>
        </xdr:cNvPr>
        <xdr:cNvCxnSpPr/>
      </xdr:nvCxnSpPr>
      <xdr:spPr>
        <a:xfrm flipV="1">
          <a:off x="6223000" y="1758950"/>
          <a:ext cx="6350" cy="10541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10</xdr:row>
      <xdr:rowOff>6350</xdr:rowOff>
    </xdr:from>
    <xdr:to>
      <xdr:col>16</xdr:col>
      <xdr:colOff>12700</xdr:colOff>
      <xdr:row>10</xdr:row>
      <xdr:rowOff>12700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66810839-26D1-47B3-B964-5CB33F0B4505}"/>
            </a:ext>
          </a:extLst>
        </xdr:cNvPr>
        <xdr:cNvCxnSpPr/>
      </xdr:nvCxnSpPr>
      <xdr:spPr>
        <a:xfrm flipV="1">
          <a:off x="4546600" y="2552700"/>
          <a:ext cx="2330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412750</xdr:colOff>
      <xdr:row>6</xdr:row>
      <xdr:rowOff>0</xdr:rowOff>
    </xdr:from>
    <xdr:to>
      <xdr:col>15</xdr:col>
      <xdr:colOff>431800</xdr:colOff>
      <xdr:row>10</xdr:row>
      <xdr:rowOff>6350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1997F12C-D092-495B-982F-8DB43D7492B2}"/>
            </a:ext>
          </a:extLst>
        </xdr:cNvPr>
        <xdr:cNvCxnSpPr/>
      </xdr:nvCxnSpPr>
      <xdr:spPr>
        <a:xfrm flipV="1">
          <a:off x="6838950" y="1816100"/>
          <a:ext cx="19050" cy="736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6</xdr:row>
      <xdr:rowOff>6350</xdr:rowOff>
    </xdr:from>
    <xdr:to>
      <xdr:col>12</xdr:col>
      <xdr:colOff>25400</xdr:colOff>
      <xdr:row>6</xdr:row>
      <xdr:rowOff>6350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6EE05E97-A016-4376-9E44-3DCB4032EC21}"/>
            </a:ext>
          </a:extLst>
        </xdr:cNvPr>
        <xdr:cNvCxnSpPr/>
      </xdr:nvCxnSpPr>
      <xdr:spPr>
        <a:xfrm>
          <a:off x="4273550" y="1822450"/>
          <a:ext cx="86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393700</xdr:colOff>
      <xdr:row>6</xdr:row>
      <xdr:rowOff>12700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80950F00-7F97-4258-9722-68735C1E2A70}"/>
            </a:ext>
          </a:extLst>
        </xdr:cNvPr>
        <xdr:cNvCxnSpPr/>
      </xdr:nvCxnSpPr>
      <xdr:spPr>
        <a:xfrm flipH="1">
          <a:off x="5549900" y="1816100"/>
          <a:ext cx="1270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3</xdr:row>
      <xdr:rowOff>165100</xdr:rowOff>
    </xdr:from>
    <xdr:to>
      <xdr:col>12</xdr:col>
      <xdr:colOff>171450</xdr:colOff>
      <xdr:row>5</xdr:row>
      <xdr:rowOff>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0004771D-8C47-4191-8F36-4BCB425CB72D}"/>
            </a:ext>
          </a:extLst>
        </xdr:cNvPr>
        <xdr:cNvCxnSpPr/>
      </xdr:nvCxnSpPr>
      <xdr:spPr>
        <a:xfrm flipV="1">
          <a:off x="5276850" y="14287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1</xdr:row>
      <xdr:rowOff>165100</xdr:rowOff>
    </xdr:from>
    <xdr:to>
      <xdr:col>12</xdr:col>
      <xdr:colOff>171450</xdr:colOff>
      <xdr:row>3</xdr:row>
      <xdr:rowOff>6350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23512878-3C38-4218-B737-FCC571DEC57D}"/>
            </a:ext>
          </a:extLst>
        </xdr:cNvPr>
        <xdr:cNvCxnSpPr/>
      </xdr:nvCxnSpPr>
      <xdr:spPr>
        <a:xfrm flipV="1">
          <a:off x="5276850" y="106045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17</xdr:row>
      <xdr:rowOff>139700</xdr:rowOff>
    </xdr:from>
    <xdr:to>
      <xdr:col>2</xdr:col>
      <xdr:colOff>139700</xdr:colOff>
      <xdr:row>19</xdr:row>
      <xdr:rowOff>12700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9B81E70C-541B-4D32-A801-48A25EC9985F}"/>
            </a:ext>
          </a:extLst>
        </xdr:cNvPr>
        <xdr:cNvCxnSpPr/>
      </xdr:nvCxnSpPr>
      <xdr:spPr>
        <a:xfrm flipV="1">
          <a:off x="1320800" y="3232150"/>
          <a:ext cx="635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152400</xdr:rowOff>
    </xdr:from>
    <xdr:to>
      <xdr:col>2</xdr:col>
      <xdr:colOff>12700</xdr:colOff>
      <xdr:row>17</xdr:row>
      <xdr:rowOff>158750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839433A0-33EC-4CFB-B51B-E0DAD3F7CC3E}"/>
            </a:ext>
          </a:extLst>
        </xdr:cNvPr>
        <xdr:cNvCxnSpPr/>
      </xdr:nvCxnSpPr>
      <xdr:spPr>
        <a:xfrm flipV="1">
          <a:off x="1187450" y="1968500"/>
          <a:ext cx="12700" cy="128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603250</xdr:colOff>
      <xdr:row>17</xdr:row>
      <xdr:rowOff>165100</xdr:rowOff>
    </xdr:from>
    <xdr:to>
      <xdr:col>2</xdr:col>
      <xdr:colOff>107950</xdr:colOff>
      <xdr:row>17</xdr:row>
      <xdr:rowOff>165100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B4766211-F1A8-4367-87AB-289A92B96373}"/>
            </a:ext>
          </a:extLst>
        </xdr:cNvPr>
        <xdr:cNvCxnSpPr/>
      </xdr:nvCxnSpPr>
      <xdr:spPr>
        <a:xfrm>
          <a:off x="1187450" y="3257550"/>
          <a:ext cx="107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165100</xdr:colOff>
      <xdr:row>17</xdr:row>
      <xdr:rowOff>171450</xdr:rowOff>
    </xdr:from>
    <xdr:to>
      <xdr:col>9</xdr:col>
      <xdr:colOff>387350</xdr:colOff>
      <xdr:row>18</xdr:row>
      <xdr:rowOff>6350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21115041-1A90-4418-9870-E51E71E538B2}"/>
            </a:ext>
          </a:extLst>
        </xdr:cNvPr>
        <xdr:cNvCxnSpPr/>
      </xdr:nvCxnSpPr>
      <xdr:spPr>
        <a:xfrm>
          <a:off x="1352550" y="3263900"/>
          <a:ext cx="29781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16</xdr:row>
      <xdr:rowOff>152400</xdr:rowOff>
    </xdr:from>
    <xdr:to>
      <xdr:col>4</xdr:col>
      <xdr:colOff>222250</xdr:colOff>
      <xdr:row>18</xdr:row>
      <xdr:rowOff>171450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EBACFCCF-EB98-48DB-8F8F-0B9FEFE5E740}"/>
            </a:ext>
          </a:extLst>
        </xdr:cNvPr>
        <xdr:cNvCxnSpPr/>
      </xdr:nvCxnSpPr>
      <xdr:spPr>
        <a:xfrm flipV="1">
          <a:off x="2190750" y="3067050"/>
          <a:ext cx="6350" cy="3746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16</xdr:row>
      <xdr:rowOff>165100</xdr:rowOff>
    </xdr:from>
    <xdr:to>
      <xdr:col>4</xdr:col>
      <xdr:colOff>209550</xdr:colOff>
      <xdr:row>17</xdr:row>
      <xdr:rowOff>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AFA75BD9-F39E-4DC3-93D0-26C2987F59F6}"/>
            </a:ext>
          </a:extLst>
        </xdr:cNvPr>
        <xdr:cNvCxnSpPr/>
      </xdr:nvCxnSpPr>
      <xdr:spPr>
        <a:xfrm flipH="1">
          <a:off x="1524000" y="3079750"/>
          <a:ext cx="660400" cy="127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17</xdr:row>
      <xdr:rowOff>6350</xdr:rowOff>
    </xdr:from>
    <xdr:to>
      <xdr:col>12</xdr:col>
      <xdr:colOff>107950</xdr:colOff>
      <xdr:row>17</xdr:row>
      <xdr:rowOff>6350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D0ABBDB1-9604-4D1A-BB8D-47771BF7CBC4}"/>
            </a:ext>
          </a:extLst>
        </xdr:cNvPr>
        <xdr:cNvCxnSpPr/>
      </xdr:nvCxnSpPr>
      <xdr:spPr>
        <a:xfrm>
          <a:off x="2241550" y="3098800"/>
          <a:ext cx="297815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158750</xdr:rowOff>
    </xdr:from>
    <xdr:to>
      <xdr:col>3</xdr:col>
      <xdr:colOff>25400</xdr:colOff>
      <xdr:row>16</xdr:row>
      <xdr:rowOff>146050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FF7838F9-79A9-4DF2-B739-3633A8DCA52D}"/>
            </a:ext>
          </a:extLst>
        </xdr:cNvPr>
        <xdr:cNvCxnSpPr/>
      </xdr:nvCxnSpPr>
      <xdr:spPr>
        <a:xfrm flipV="1">
          <a:off x="1581150" y="1974850"/>
          <a:ext cx="25400" cy="10858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15</xdr:row>
      <xdr:rowOff>139700</xdr:rowOff>
    </xdr:from>
    <xdr:to>
      <xdr:col>6</xdr:col>
      <xdr:colOff>158750</xdr:colOff>
      <xdr:row>19</xdr:row>
      <xdr:rowOff>6350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E8571F2E-575B-496B-8278-0C4322E8EE7A}"/>
            </a:ext>
          </a:extLst>
        </xdr:cNvPr>
        <xdr:cNvCxnSpPr/>
      </xdr:nvCxnSpPr>
      <xdr:spPr>
        <a:xfrm flipV="1">
          <a:off x="2921000" y="2870200"/>
          <a:ext cx="0" cy="59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15</xdr:row>
      <xdr:rowOff>171450</xdr:rowOff>
    </xdr:from>
    <xdr:to>
      <xdr:col>6</xdr:col>
      <xdr:colOff>146050</xdr:colOff>
      <xdr:row>15</xdr:row>
      <xdr:rowOff>177800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08818C33-BE2B-4F21-B689-6C5F9EAA4EFF}"/>
            </a:ext>
          </a:extLst>
        </xdr:cNvPr>
        <xdr:cNvCxnSpPr/>
      </xdr:nvCxnSpPr>
      <xdr:spPr>
        <a:xfrm flipH="1" flipV="1">
          <a:off x="2190750" y="2901950"/>
          <a:ext cx="7175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11</xdr:row>
      <xdr:rowOff>19050</xdr:rowOff>
    </xdr:from>
    <xdr:to>
      <xdr:col>4</xdr:col>
      <xdr:colOff>234950</xdr:colOff>
      <xdr:row>15</xdr:row>
      <xdr:rowOff>146050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E5FA212E-87DF-4D53-ADE9-7555F54EC866}"/>
            </a:ext>
          </a:extLst>
        </xdr:cNvPr>
        <xdr:cNvCxnSpPr/>
      </xdr:nvCxnSpPr>
      <xdr:spPr>
        <a:xfrm flipV="1">
          <a:off x="2209800" y="2019300"/>
          <a:ext cx="0" cy="857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146050</xdr:colOff>
      <xdr:row>15</xdr:row>
      <xdr:rowOff>171450</xdr:rowOff>
    </xdr:from>
    <xdr:to>
      <xdr:col>13</xdr:col>
      <xdr:colOff>298450</xdr:colOff>
      <xdr:row>15</xdr:row>
      <xdr:rowOff>177800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56316B33-2767-49BC-9FED-065345F99D2C}"/>
            </a:ext>
          </a:extLst>
        </xdr:cNvPr>
        <xdr:cNvCxnSpPr/>
      </xdr:nvCxnSpPr>
      <xdr:spPr>
        <a:xfrm flipV="1">
          <a:off x="2908300" y="2901950"/>
          <a:ext cx="29400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14</xdr:row>
      <xdr:rowOff>158750</xdr:rowOff>
    </xdr:from>
    <xdr:to>
      <xdr:col>8</xdr:col>
      <xdr:colOff>203200</xdr:colOff>
      <xdr:row>18</xdr:row>
      <xdr:rowOff>158750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CCE59BA3-4F9B-49FA-812F-75526E3E16A0}"/>
            </a:ext>
          </a:extLst>
        </xdr:cNvPr>
        <xdr:cNvCxnSpPr/>
      </xdr:nvCxnSpPr>
      <xdr:spPr>
        <a:xfrm flipV="1">
          <a:off x="3752850" y="2705100"/>
          <a:ext cx="0" cy="7239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15</xdr:row>
      <xdr:rowOff>0</xdr:rowOff>
    </xdr:from>
    <xdr:to>
      <xdr:col>8</xdr:col>
      <xdr:colOff>152400</xdr:colOff>
      <xdr:row>15</xdr:row>
      <xdr:rowOff>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1D7D0E10-86E6-49BE-80CD-4149480AC597}"/>
            </a:ext>
          </a:extLst>
        </xdr:cNvPr>
        <xdr:cNvCxnSpPr/>
      </xdr:nvCxnSpPr>
      <xdr:spPr>
        <a:xfrm flipH="1">
          <a:off x="2749550" y="2730500"/>
          <a:ext cx="952500" cy="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12700</xdr:rowOff>
    </xdr:from>
    <xdr:to>
      <xdr:col>6</xdr:col>
      <xdr:colOff>0</xdr:colOff>
      <xdr:row>15</xdr:row>
      <xdr:rowOff>19050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75510BE4-7C3B-4514-BA19-2B1C3FDB2987}"/>
            </a:ext>
          </a:extLst>
        </xdr:cNvPr>
        <xdr:cNvCxnSpPr/>
      </xdr:nvCxnSpPr>
      <xdr:spPr>
        <a:xfrm flipV="1">
          <a:off x="2762250" y="2012950"/>
          <a:ext cx="0" cy="7366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196850</xdr:colOff>
      <xdr:row>13</xdr:row>
      <xdr:rowOff>158750</xdr:rowOff>
    </xdr:from>
    <xdr:to>
      <xdr:col>10</xdr:col>
      <xdr:colOff>203200</xdr:colOff>
      <xdr:row>18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DCC49AF9-0608-4229-B087-7B4D78C47CB0}"/>
            </a:ext>
          </a:extLst>
        </xdr:cNvPr>
        <xdr:cNvCxnSpPr/>
      </xdr:nvCxnSpPr>
      <xdr:spPr>
        <a:xfrm flipH="1" flipV="1">
          <a:off x="4533900" y="2527300"/>
          <a:ext cx="635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13</xdr:row>
      <xdr:rowOff>165100</xdr:rowOff>
    </xdr:from>
    <xdr:to>
      <xdr:col>10</xdr:col>
      <xdr:colOff>196850</xdr:colOff>
      <xdr:row>14</xdr:row>
      <xdr:rowOff>6350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5D525409-1C62-4561-8697-C545CCBCFE60}"/>
            </a:ext>
          </a:extLst>
        </xdr:cNvPr>
        <xdr:cNvCxnSpPr/>
      </xdr:nvCxnSpPr>
      <xdr:spPr>
        <a:xfrm flipH="1" flipV="1">
          <a:off x="3517900" y="2533650"/>
          <a:ext cx="10160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11</xdr:row>
      <xdr:rowOff>0</xdr:rowOff>
    </xdr:from>
    <xdr:to>
      <xdr:col>8</xdr:col>
      <xdr:colOff>12700</xdr:colOff>
      <xdr:row>14</xdr:row>
      <xdr:rowOff>31750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04F64E42-446B-4A4F-9463-3F91DBF90A26}"/>
            </a:ext>
          </a:extLst>
        </xdr:cNvPr>
        <xdr:cNvCxnSpPr/>
      </xdr:nvCxnSpPr>
      <xdr:spPr>
        <a:xfrm flipV="1">
          <a:off x="3556000" y="2000250"/>
          <a:ext cx="6350" cy="577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11</xdr:row>
      <xdr:rowOff>0</xdr:rowOff>
    </xdr:from>
    <xdr:to>
      <xdr:col>8</xdr:col>
      <xdr:colOff>19050</xdr:colOff>
      <xdr:row>11</xdr:row>
      <xdr:rowOff>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79120155-2D24-48FF-A6EA-7D4D1D9E5276}"/>
            </a:ext>
          </a:extLst>
        </xdr:cNvPr>
        <xdr:cNvCxnSpPr/>
      </xdr:nvCxnSpPr>
      <xdr:spPr>
        <a:xfrm flipH="1">
          <a:off x="2774950" y="2000250"/>
          <a:ext cx="793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</xdr:colOff>
      <xdr:row>10</xdr:row>
      <xdr:rowOff>171450</xdr:rowOff>
    </xdr:from>
    <xdr:to>
      <xdr:col>5</xdr:col>
      <xdr:colOff>38100</xdr:colOff>
      <xdr:row>11</xdr:row>
      <xdr:rowOff>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8DE286B5-5634-4A70-A946-9EAE3D515948}"/>
            </a:ext>
          </a:extLst>
        </xdr:cNvPr>
        <xdr:cNvCxnSpPr/>
      </xdr:nvCxnSpPr>
      <xdr:spPr>
        <a:xfrm flipV="1">
          <a:off x="1193800" y="1987550"/>
          <a:ext cx="12128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8</xdr:row>
      <xdr:rowOff>165100</xdr:rowOff>
    </xdr:from>
    <xdr:to>
      <xdr:col>5</xdr:col>
      <xdr:colOff>171450</xdr:colOff>
      <xdr:row>10</xdr:row>
      <xdr:rowOff>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96B9242F-7DEC-44C8-BCAD-4B7197C8C955}"/>
            </a:ext>
          </a:extLst>
        </xdr:cNvPr>
        <xdr:cNvCxnSpPr/>
      </xdr:nvCxnSpPr>
      <xdr:spPr>
        <a:xfrm flipV="1">
          <a:off x="2533650" y="161290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6</xdr:row>
      <xdr:rowOff>165100</xdr:rowOff>
    </xdr:from>
    <xdr:to>
      <xdr:col>5</xdr:col>
      <xdr:colOff>171450</xdr:colOff>
      <xdr:row>8</xdr:row>
      <xdr:rowOff>6350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DA984462-B95E-4F64-AA43-37549003E2F3}"/>
            </a:ext>
          </a:extLst>
        </xdr:cNvPr>
        <xdr:cNvCxnSpPr/>
      </xdr:nvCxnSpPr>
      <xdr:spPr>
        <a:xfrm flipV="1">
          <a:off x="2533650" y="124460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374650</xdr:colOff>
      <xdr:row>9</xdr:row>
      <xdr:rowOff>152400</xdr:rowOff>
    </xdr:from>
    <xdr:to>
      <xdr:col>9</xdr:col>
      <xdr:colOff>387350</xdr:colOff>
      <xdr:row>18</xdr:row>
      <xdr:rowOff>19050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F8011908-2666-462B-834C-2DF20C46EAD4}"/>
            </a:ext>
          </a:extLst>
        </xdr:cNvPr>
        <xdr:cNvCxnSpPr/>
      </xdr:nvCxnSpPr>
      <xdr:spPr>
        <a:xfrm flipH="1" flipV="1">
          <a:off x="4318000" y="1784350"/>
          <a:ext cx="12700" cy="150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158750</xdr:rowOff>
    </xdr:from>
    <xdr:to>
      <xdr:col>12</xdr:col>
      <xdr:colOff>6350</xdr:colOff>
      <xdr:row>17</xdr:row>
      <xdr:rowOff>19050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30C9EFD5-0429-4999-9223-631286232A0E}"/>
            </a:ext>
          </a:extLst>
        </xdr:cNvPr>
        <xdr:cNvCxnSpPr/>
      </xdr:nvCxnSpPr>
      <xdr:spPr>
        <a:xfrm flipH="1" flipV="1">
          <a:off x="5111750" y="1790700"/>
          <a:ext cx="6350" cy="13208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273050</xdr:colOff>
      <xdr:row>9</xdr:row>
      <xdr:rowOff>165100</xdr:rowOff>
    </xdr:from>
    <xdr:to>
      <xdr:col>13</xdr:col>
      <xdr:colOff>279400</xdr:colOff>
      <xdr:row>16</xdr:row>
      <xdr:rowOff>25400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8E4BC723-353B-43F2-9D40-28DC2901E2D1}"/>
            </a:ext>
          </a:extLst>
        </xdr:cNvPr>
        <xdr:cNvCxnSpPr/>
      </xdr:nvCxnSpPr>
      <xdr:spPr>
        <a:xfrm flipH="1" flipV="1">
          <a:off x="5822950" y="1797050"/>
          <a:ext cx="6350" cy="1143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15</xdr:row>
      <xdr:rowOff>88900</xdr:rowOff>
    </xdr:from>
    <xdr:to>
      <xdr:col>15</xdr:col>
      <xdr:colOff>19050</xdr:colOff>
      <xdr:row>15</xdr:row>
      <xdr:rowOff>107950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A979BD08-CF4F-4523-AF81-ABD733C3F985}"/>
            </a:ext>
          </a:extLst>
        </xdr:cNvPr>
        <xdr:cNvCxnSpPr/>
      </xdr:nvCxnSpPr>
      <xdr:spPr>
        <a:xfrm flipV="1">
          <a:off x="3765550" y="2819400"/>
          <a:ext cx="2679700" cy="190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234950</xdr:colOff>
      <xdr:row>9</xdr:row>
      <xdr:rowOff>127000</xdr:rowOff>
    </xdr:from>
    <xdr:to>
      <xdr:col>14</xdr:col>
      <xdr:colOff>241300</xdr:colOff>
      <xdr:row>15</xdr:row>
      <xdr:rowOff>82550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BA131C5B-2262-4F3C-AD6E-EAC385BC5A9C}"/>
            </a:ext>
          </a:extLst>
        </xdr:cNvPr>
        <xdr:cNvCxnSpPr/>
      </xdr:nvCxnSpPr>
      <xdr:spPr>
        <a:xfrm flipV="1">
          <a:off x="6223000" y="1758950"/>
          <a:ext cx="6350" cy="10541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14</xdr:row>
      <xdr:rowOff>6350</xdr:rowOff>
    </xdr:from>
    <xdr:to>
      <xdr:col>16</xdr:col>
      <xdr:colOff>12700</xdr:colOff>
      <xdr:row>14</xdr:row>
      <xdr:rowOff>12700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528D3A5E-12BF-430B-878F-6ED46AFF7070}"/>
            </a:ext>
          </a:extLst>
        </xdr:cNvPr>
        <xdr:cNvCxnSpPr/>
      </xdr:nvCxnSpPr>
      <xdr:spPr>
        <a:xfrm flipV="1">
          <a:off x="4546600" y="2552700"/>
          <a:ext cx="2330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412750</xdr:colOff>
      <xdr:row>10</xdr:row>
      <xdr:rowOff>0</xdr:rowOff>
    </xdr:from>
    <xdr:to>
      <xdr:col>15</xdr:col>
      <xdr:colOff>431800</xdr:colOff>
      <xdr:row>14</xdr:row>
      <xdr:rowOff>6350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C2D42AA1-668F-40C2-85C3-55FE13FD339A}"/>
            </a:ext>
          </a:extLst>
        </xdr:cNvPr>
        <xdr:cNvCxnSpPr/>
      </xdr:nvCxnSpPr>
      <xdr:spPr>
        <a:xfrm flipV="1">
          <a:off x="6838950" y="1816100"/>
          <a:ext cx="19050" cy="736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10</xdr:row>
      <xdr:rowOff>6350</xdr:rowOff>
    </xdr:from>
    <xdr:to>
      <xdr:col>12</xdr:col>
      <xdr:colOff>25400</xdr:colOff>
      <xdr:row>10</xdr:row>
      <xdr:rowOff>6350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49CE2B07-8BF3-41DB-87BE-A17B8EEBA768}"/>
            </a:ext>
          </a:extLst>
        </xdr:cNvPr>
        <xdr:cNvCxnSpPr/>
      </xdr:nvCxnSpPr>
      <xdr:spPr>
        <a:xfrm>
          <a:off x="4273550" y="1822450"/>
          <a:ext cx="863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0</xdr:rowOff>
    </xdr:from>
    <xdr:to>
      <xdr:col>15</xdr:col>
      <xdr:colOff>393700</xdr:colOff>
      <xdr:row>10</xdr:row>
      <xdr:rowOff>12700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B2E4293F-7D4B-447A-B712-3022CE346847}"/>
            </a:ext>
          </a:extLst>
        </xdr:cNvPr>
        <xdr:cNvCxnSpPr/>
      </xdr:nvCxnSpPr>
      <xdr:spPr>
        <a:xfrm flipH="1">
          <a:off x="5549900" y="1816100"/>
          <a:ext cx="1270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7</xdr:row>
      <xdr:rowOff>165100</xdr:rowOff>
    </xdr:from>
    <xdr:to>
      <xdr:col>12</xdr:col>
      <xdr:colOff>171450</xdr:colOff>
      <xdr:row>9</xdr:row>
      <xdr:rowOff>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D3FA44AF-DCB1-4E31-BCFC-6C9324BA616E}"/>
            </a:ext>
          </a:extLst>
        </xdr:cNvPr>
        <xdr:cNvCxnSpPr/>
      </xdr:nvCxnSpPr>
      <xdr:spPr>
        <a:xfrm flipV="1">
          <a:off x="5276850" y="14287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5</xdr:row>
      <xdr:rowOff>165100</xdr:rowOff>
    </xdr:from>
    <xdr:to>
      <xdr:col>12</xdr:col>
      <xdr:colOff>171450</xdr:colOff>
      <xdr:row>7</xdr:row>
      <xdr:rowOff>6350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4DE0F0DA-83CC-4B15-9A3B-C71227C21517}"/>
            </a:ext>
          </a:extLst>
        </xdr:cNvPr>
        <xdr:cNvCxnSpPr/>
      </xdr:nvCxnSpPr>
      <xdr:spPr>
        <a:xfrm flipV="1">
          <a:off x="5276850" y="106045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10</xdr:row>
      <xdr:rowOff>177800</xdr:rowOff>
    </xdr:from>
    <xdr:to>
      <xdr:col>1</xdr:col>
      <xdr:colOff>190500</xdr:colOff>
      <xdr:row>13</xdr:row>
      <xdr:rowOff>139700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B2DCAE24-2907-44D7-91D9-BA3CF32D93F1}"/>
            </a:ext>
          </a:extLst>
        </xdr:cNvPr>
        <xdr:cNvCxnSpPr/>
      </xdr:nvCxnSpPr>
      <xdr:spPr>
        <a:xfrm flipV="1">
          <a:off x="2247900" y="44767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184150</xdr:colOff>
      <xdr:row>11</xdr:row>
      <xdr:rowOff>31750</xdr:rowOff>
    </xdr:from>
    <xdr:to>
      <xdr:col>3</xdr:col>
      <xdr:colOff>120650</xdr:colOff>
      <xdr:row>13</xdr:row>
      <xdr:rowOff>152400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7F7D1CA4-8931-4837-B864-EC240839CC33}"/>
            </a:ext>
          </a:extLst>
        </xdr:cNvPr>
        <xdr:cNvCxnSpPr/>
      </xdr:nvCxnSpPr>
      <xdr:spPr>
        <a:xfrm flipH="1" flipV="1">
          <a:off x="2266950" y="4521200"/>
          <a:ext cx="8001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196850</xdr:colOff>
      <xdr:row>11</xdr:row>
      <xdr:rowOff>12700</xdr:rowOff>
    </xdr:from>
    <xdr:to>
      <xdr:col>4</xdr:col>
      <xdr:colOff>139700</xdr:colOff>
      <xdr:row>13</xdr:row>
      <xdr:rowOff>171450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2C264A12-C56B-4611-9DD6-83A4AB3B0D4B}"/>
            </a:ext>
          </a:extLst>
        </xdr:cNvPr>
        <xdr:cNvCxnSpPr/>
      </xdr:nvCxnSpPr>
      <xdr:spPr>
        <a:xfrm flipH="1" flipV="1">
          <a:off x="2279650" y="4502150"/>
          <a:ext cx="12382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11</xdr:row>
      <xdr:rowOff>6350</xdr:rowOff>
    </xdr:from>
    <xdr:to>
      <xdr:col>4</xdr:col>
      <xdr:colOff>152400</xdr:colOff>
      <xdr:row>14</xdr:row>
      <xdr:rowOff>12700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2B4BBEC7-A612-45DA-922C-1A73FC9F36EF}"/>
            </a:ext>
          </a:extLst>
        </xdr:cNvPr>
        <xdr:cNvCxnSpPr/>
      </xdr:nvCxnSpPr>
      <xdr:spPr>
        <a:xfrm flipV="1">
          <a:off x="3530600" y="44958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254000</xdr:colOff>
      <xdr:row>11</xdr:row>
      <xdr:rowOff>57150</xdr:rowOff>
    </xdr:from>
    <xdr:to>
      <xdr:col>2</xdr:col>
      <xdr:colOff>196850</xdr:colOff>
      <xdr:row>13</xdr:row>
      <xdr:rowOff>139700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3E46130F-076A-4F93-8FAF-27315F731805}"/>
            </a:ext>
          </a:extLst>
        </xdr:cNvPr>
        <xdr:cNvCxnSpPr/>
      </xdr:nvCxnSpPr>
      <xdr:spPr>
        <a:xfrm flipH="1" flipV="1">
          <a:off x="2336800" y="4546600"/>
          <a:ext cx="3746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241300</xdr:colOff>
      <xdr:row>11</xdr:row>
      <xdr:rowOff>44450</xdr:rowOff>
    </xdr:from>
    <xdr:to>
      <xdr:col>4</xdr:col>
      <xdr:colOff>76200</xdr:colOff>
      <xdr:row>13</xdr:row>
      <xdr:rowOff>139700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251B0108-3B7C-42DB-B184-A444CAA0A4FA}"/>
            </a:ext>
          </a:extLst>
        </xdr:cNvPr>
        <xdr:cNvCxnSpPr/>
      </xdr:nvCxnSpPr>
      <xdr:spPr>
        <a:xfrm flipV="1">
          <a:off x="2755900" y="4533900"/>
          <a:ext cx="6985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11</xdr:row>
      <xdr:rowOff>12700</xdr:rowOff>
    </xdr:from>
    <xdr:to>
      <xdr:col>4</xdr:col>
      <xdr:colOff>133350</xdr:colOff>
      <xdr:row>13</xdr:row>
      <xdr:rowOff>146050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6D27BDC6-7128-464B-A340-D51189711DDF}"/>
            </a:ext>
          </a:extLst>
        </xdr:cNvPr>
        <xdr:cNvCxnSpPr/>
      </xdr:nvCxnSpPr>
      <xdr:spPr>
        <a:xfrm flipV="1">
          <a:off x="3149600" y="4502150"/>
          <a:ext cx="3619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11</xdr:row>
      <xdr:rowOff>19050</xdr:rowOff>
    </xdr:from>
    <xdr:to>
      <xdr:col>4</xdr:col>
      <xdr:colOff>273050</xdr:colOff>
      <xdr:row>13</xdr:row>
      <xdr:rowOff>158750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7B84CA0C-C830-4715-B7A3-67D9519C23DF}"/>
            </a:ext>
          </a:extLst>
        </xdr:cNvPr>
        <xdr:cNvCxnSpPr/>
      </xdr:nvCxnSpPr>
      <xdr:spPr>
        <a:xfrm flipV="1">
          <a:off x="2254250" y="4508500"/>
          <a:ext cx="13970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184150</xdr:colOff>
      <xdr:row>8</xdr:row>
      <xdr:rowOff>152400</xdr:rowOff>
    </xdr:from>
    <xdr:to>
      <xdr:col>1</xdr:col>
      <xdr:colOff>190500</xdr:colOff>
      <xdr:row>10</xdr:row>
      <xdr:rowOff>6350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2FE233BA-16B9-42ED-B521-E4D70A7929FD}"/>
            </a:ext>
          </a:extLst>
        </xdr:cNvPr>
        <xdr:cNvCxnSpPr/>
      </xdr:nvCxnSpPr>
      <xdr:spPr>
        <a:xfrm flipH="1" flipV="1">
          <a:off x="2266950" y="40830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215900</xdr:colOff>
      <xdr:row>9</xdr:row>
      <xdr:rowOff>19050</xdr:rowOff>
    </xdr:from>
    <xdr:to>
      <xdr:col>4</xdr:col>
      <xdr:colOff>228600</xdr:colOff>
      <xdr:row>10</xdr:row>
      <xdr:rowOff>12700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0EF128CA-F762-4A5D-9A5B-4F2075BD689F}"/>
            </a:ext>
          </a:extLst>
        </xdr:cNvPr>
        <xdr:cNvCxnSpPr/>
      </xdr:nvCxnSpPr>
      <xdr:spPr>
        <a:xfrm flipV="1">
          <a:off x="3594100" y="41338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165100</xdr:colOff>
      <xdr:row>10</xdr:row>
      <xdr:rowOff>177800</xdr:rowOff>
    </xdr:from>
    <xdr:to>
      <xdr:col>13</xdr:col>
      <xdr:colOff>190500</xdr:colOff>
      <xdr:row>13</xdr:row>
      <xdr:rowOff>139700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9B99D99F-8BC6-4347-8D47-D402BFE33846}"/>
            </a:ext>
          </a:extLst>
        </xdr:cNvPr>
        <xdr:cNvCxnSpPr/>
      </xdr:nvCxnSpPr>
      <xdr:spPr>
        <a:xfrm flipV="1">
          <a:off x="6883400" y="44767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184150</xdr:colOff>
      <xdr:row>11</xdr:row>
      <xdr:rowOff>31750</xdr:rowOff>
    </xdr:from>
    <xdr:to>
      <xdr:col>15</xdr:col>
      <xdr:colOff>120650</xdr:colOff>
      <xdr:row>13</xdr:row>
      <xdr:rowOff>152400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C6BEB66F-0808-4124-A38D-653AA3F09E04}"/>
            </a:ext>
          </a:extLst>
        </xdr:cNvPr>
        <xdr:cNvCxnSpPr/>
      </xdr:nvCxnSpPr>
      <xdr:spPr>
        <a:xfrm flipH="1" flipV="1">
          <a:off x="6902450" y="4521200"/>
          <a:ext cx="34925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196850</xdr:colOff>
      <xdr:row>11</xdr:row>
      <xdr:rowOff>12700</xdr:rowOff>
    </xdr:from>
    <xdr:to>
      <xdr:col>16</xdr:col>
      <xdr:colOff>139700</xdr:colOff>
      <xdr:row>13</xdr:row>
      <xdr:rowOff>171450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471FA6FB-1BFD-4532-807F-2F49003F990B}"/>
            </a:ext>
          </a:extLst>
        </xdr:cNvPr>
        <xdr:cNvCxnSpPr/>
      </xdr:nvCxnSpPr>
      <xdr:spPr>
        <a:xfrm flipH="1" flipV="1">
          <a:off x="6915150" y="4502150"/>
          <a:ext cx="755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11</xdr:row>
      <xdr:rowOff>6350</xdr:rowOff>
    </xdr:from>
    <xdr:to>
      <xdr:col>16</xdr:col>
      <xdr:colOff>152400</xdr:colOff>
      <xdr:row>14</xdr:row>
      <xdr:rowOff>12700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B60B0EF1-5305-4639-8071-6B032844FABC}"/>
            </a:ext>
          </a:extLst>
        </xdr:cNvPr>
        <xdr:cNvCxnSpPr/>
      </xdr:nvCxnSpPr>
      <xdr:spPr>
        <a:xfrm flipV="1">
          <a:off x="7683500" y="44958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146050</xdr:colOff>
      <xdr:row>9</xdr:row>
      <xdr:rowOff>0</xdr:rowOff>
    </xdr:from>
    <xdr:to>
      <xdr:col>18</xdr:col>
      <xdr:colOff>260350</xdr:colOff>
      <xdr:row>11</xdr:row>
      <xdr:rowOff>57150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E23110D0-DC7A-4A15-BF72-DD1F45F5FE34}"/>
            </a:ext>
          </a:extLst>
        </xdr:cNvPr>
        <xdr:cNvCxnSpPr/>
      </xdr:nvCxnSpPr>
      <xdr:spPr>
        <a:xfrm flipV="1">
          <a:off x="11118850" y="1625600"/>
          <a:ext cx="11430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165100</xdr:colOff>
      <xdr:row>10</xdr:row>
      <xdr:rowOff>184150</xdr:rowOff>
    </xdr:from>
    <xdr:to>
      <xdr:col>17</xdr:col>
      <xdr:colOff>107950</xdr:colOff>
      <xdr:row>13</xdr:row>
      <xdr:rowOff>158750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602F6BE0-E8D7-421E-AEF2-5CD41518E578}"/>
            </a:ext>
          </a:extLst>
        </xdr:cNvPr>
        <xdr:cNvCxnSpPr/>
      </xdr:nvCxnSpPr>
      <xdr:spPr>
        <a:xfrm flipH="1" flipV="1">
          <a:off x="6883400" y="4483100"/>
          <a:ext cx="115570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203200</xdr:colOff>
      <xdr:row>11</xdr:row>
      <xdr:rowOff>12700</xdr:rowOff>
    </xdr:from>
    <xdr:to>
      <xdr:col>16</xdr:col>
      <xdr:colOff>133350</xdr:colOff>
      <xdr:row>13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FD44EEC6-E6CF-4777-91AD-1FE8D87E494B}"/>
            </a:ext>
          </a:extLst>
        </xdr:cNvPr>
        <xdr:cNvCxnSpPr/>
      </xdr:nvCxnSpPr>
      <xdr:spPr>
        <a:xfrm flipV="1">
          <a:off x="7334250" y="4502150"/>
          <a:ext cx="3302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11</xdr:row>
      <xdr:rowOff>19050</xdr:rowOff>
    </xdr:from>
    <xdr:to>
      <xdr:col>16</xdr:col>
      <xdr:colOff>273050</xdr:colOff>
      <xdr:row>13</xdr:row>
      <xdr:rowOff>158750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65AE13A1-1477-4B04-A94A-F2DC88577C7F}"/>
            </a:ext>
          </a:extLst>
        </xdr:cNvPr>
        <xdr:cNvCxnSpPr/>
      </xdr:nvCxnSpPr>
      <xdr:spPr>
        <a:xfrm flipV="1">
          <a:off x="6889750" y="4508500"/>
          <a:ext cx="914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184150</xdr:colOff>
      <xdr:row>8</xdr:row>
      <xdr:rowOff>152400</xdr:rowOff>
    </xdr:from>
    <xdr:to>
      <xdr:col>13</xdr:col>
      <xdr:colOff>190500</xdr:colOff>
      <xdr:row>10</xdr:row>
      <xdr:rowOff>6350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1A895ABB-45C2-4882-A9B9-A405133515B8}"/>
            </a:ext>
          </a:extLst>
        </xdr:cNvPr>
        <xdr:cNvCxnSpPr/>
      </xdr:nvCxnSpPr>
      <xdr:spPr>
        <a:xfrm flipH="1" flipV="1">
          <a:off x="6902450" y="40830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215900</xdr:colOff>
      <xdr:row>9</xdr:row>
      <xdr:rowOff>19050</xdr:rowOff>
    </xdr:from>
    <xdr:to>
      <xdr:col>16</xdr:col>
      <xdr:colOff>228600</xdr:colOff>
      <xdr:row>10</xdr:row>
      <xdr:rowOff>12700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4BAE8D5A-58E5-4376-AC25-0EBE84DA3D4D}"/>
            </a:ext>
          </a:extLst>
        </xdr:cNvPr>
        <xdr:cNvCxnSpPr/>
      </xdr:nvCxnSpPr>
      <xdr:spPr>
        <a:xfrm flipV="1">
          <a:off x="7747000" y="41338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165100</xdr:colOff>
      <xdr:row>10</xdr:row>
      <xdr:rowOff>177800</xdr:rowOff>
    </xdr:from>
    <xdr:to>
      <xdr:col>7</xdr:col>
      <xdr:colOff>190500</xdr:colOff>
      <xdr:row>13</xdr:row>
      <xdr:rowOff>139700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DD5F6D8C-2E20-40FC-9328-B11C04BBE574}"/>
            </a:ext>
          </a:extLst>
        </xdr:cNvPr>
        <xdr:cNvCxnSpPr/>
      </xdr:nvCxnSpPr>
      <xdr:spPr>
        <a:xfrm flipV="1">
          <a:off x="774700" y="32321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11</xdr:row>
      <xdr:rowOff>31750</xdr:rowOff>
    </xdr:from>
    <xdr:to>
      <xdr:col>9</xdr:col>
      <xdr:colOff>120650</xdr:colOff>
      <xdr:row>13</xdr:row>
      <xdr:rowOff>152400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62979481-22F3-48D2-A9BE-B747029C9447}"/>
            </a:ext>
          </a:extLst>
        </xdr:cNvPr>
        <xdr:cNvCxnSpPr/>
      </xdr:nvCxnSpPr>
      <xdr:spPr>
        <a:xfrm flipH="1" flipV="1">
          <a:off x="793750" y="327660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196850</xdr:colOff>
      <xdr:row>11</xdr:row>
      <xdr:rowOff>12700</xdr:rowOff>
    </xdr:from>
    <xdr:to>
      <xdr:col>10</xdr:col>
      <xdr:colOff>139700</xdr:colOff>
      <xdr:row>13</xdr:row>
      <xdr:rowOff>171450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C6AA6E04-ABA4-4FEA-A55C-3AFBCF9E1EF5}"/>
            </a:ext>
          </a:extLst>
        </xdr:cNvPr>
        <xdr:cNvCxnSpPr/>
      </xdr:nvCxnSpPr>
      <xdr:spPr>
        <a:xfrm flipH="1" flipV="1">
          <a:off x="806450" y="325755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11</xdr:row>
      <xdr:rowOff>6350</xdr:rowOff>
    </xdr:from>
    <xdr:to>
      <xdr:col>10</xdr:col>
      <xdr:colOff>152400</xdr:colOff>
      <xdr:row>14</xdr:row>
      <xdr:rowOff>12700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D494BD2D-3D0A-4E32-B348-26E16C4D6200}"/>
            </a:ext>
          </a:extLst>
        </xdr:cNvPr>
        <xdr:cNvCxnSpPr/>
      </xdr:nvCxnSpPr>
      <xdr:spPr>
        <a:xfrm flipV="1">
          <a:off x="2590800" y="32512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11</xdr:row>
      <xdr:rowOff>57150</xdr:rowOff>
    </xdr:from>
    <xdr:to>
      <xdr:col>8</xdr:col>
      <xdr:colOff>196850</xdr:colOff>
      <xdr:row>13</xdr:row>
      <xdr:rowOff>139700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FF37E4DC-EC71-427B-86BF-3B885E15C90C}"/>
            </a:ext>
          </a:extLst>
        </xdr:cNvPr>
        <xdr:cNvCxnSpPr/>
      </xdr:nvCxnSpPr>
      <xdr:spPr>
        <a:xfrm flipH="1" flipV="1">
          <a:off x="863600" y="3302000"/>
          <a:ext cx="5524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241300</xdr:colOff>
      <xdr:row>11</xdr:row>
      <xdr:rowOff>44450</xdr:rowOff>
    </xdr:from>
    <xdr:to>
      <xdr:col>10</xdr:col>
      <xdr:colOff>76200</xdr:colOff>
      <xdr:row>13</xdr:row>
      <xdr:rowOff>139700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774FEE25-6E22-4911-A172-AC525E350BF6}"/>
            </a:ext>
          </a:extLst>
        </xdr:cNvPr>
        <xdr:cNvCxnSpPr/>
      </xdr:nvCxnSpPr>
      <xdr:spPr>
        <a:xfrm flipV="1">
          <a:off x="1460500" y="3289300"/>
          <a:ext cx="1054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203200</xdr:colOff>
      <xdr:row>11</xdr:row>
      <xdr:rowOff>12700</xdr:rowOff>
    </xdr:from>
    <xdr:to>
      <xdr:col>10</xdr:col>
      <xdr:colOff>133350</xdr:colOff>
      <xdr:row>13</xdr:row>
      <xdr:rowOff>146050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7F3D27AE-D058-4350-AC7D-D1005ACCE744}"/>
            </a:ext>
          </a:extLst>
        </xdr:cNvPr>
        <xdr:cNvCxnSpPr/>
      </xdr:nvCxnSpPr>
      <xdr:spPr>
        <a:xfrm flipV="1">
          <a:off x="2032000" y="325755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11</xdr:row>
      <xdr:rowOff>19050</xdr:rowOff>
    </xdr:from>
    <xdr:to>
      <xdr:col>10</xdr:col>
      <xdr:colOff>273050</xdr:colOff>
      <xdr:row>13</xdr:row>
      <xdr:rowOff>158750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7B61197A-17D2-4800-8CB3-152E9B954241}"/>
            </a:ext>
          </a:extLst>
        </xdr:cNvPr>
        <xdr:cNvCxnSpPr/>
      </xdr:nvCxnSpPr>
      <xdr:spPr>
        <a:xfrm flipV="1">
          <a:off x="781050" y="326390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8</xdr:row>
      <xdr:rowOff>152400</xdr:rowOff>
    </xdr:from>
    <xdr:to>
      <xdr:col>7</xdr:col>
      <xdr:colOff>190500</xdr:colOff>
      <xdr:row>10</xdr:row>
      <xdr:rowOff>6350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2D4443E7-EBFE-46B6-94DC-73B3FC10CB05}"/>
            </a:ext>
          </a:extLst>
        </xdr:cNvPr>
        <xdr:cNvCxnSpPr/>
      </xdr:nvCxnSpPr>
      <xdr:spPr>
        <a:xfrm flipH="1" flipV="1">
          <a:off x="793750" y="28384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215900</xdr:colOff>
      <xdr:row>9</xdr:row>
      <xdr:rowOff>19050</xdr:rowOff>
    </xdr:from>
    <xdr:to>
      <xdr:col>10</xdr:col>
      <xdr:colOff>228600</xdr:colOff>
      <xdr:row>10</xdr:row>
      <xdr:rowOff>12700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4703F6F7-4059-4152-A8C8-07D935B27D53}"/>
            </a:ext>
          </a:extLst>
        </xdr:cNvPr>
        <xdr:cNvCxnSpPr/>
      </xdr:nvCxnSpPr>
      <xdr:spPr>
        <a:xfrm flipV="1">
          <a:off x="2654300" y="28892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444500</xdr:colOff>
      <xdr:row>0</xdr:row>
      <xdr:rowOff>0</xdr:rowOff>
    </xdr:from>
    <xdr:to>
      <xdr:col>25</xdr:col>
      <xdr:colOff>230170</xdr:colOff>
      <xdr:row>23</xdr:row>
      <xdr:rowOff>70660</xdr:rowOff>
    </xdr:to>
    <xdr:pic>
      <xdr:nvPicPr>
        <xdr:cNvPr id="33" name="Obraz 32">
          <a:extLst>
            <a:ext uri="{FF2B5EF4-FFF2-40B4-BE49-F238E27FC236}">
              <a16:creationId xmlns:a16="http://schemas.microsoft.com/office/drawing/2014/main" id="{22730A8E-C445-4CD0-A125-314946E05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6900" y="0"/>
          <a:ext cx="3055920" cy="4210860"/>
        </a:xfrm>
        <a:prstGeom prst="rect">
          <a:avLst/>
        </a:prstGeom>
      </xdr:spPr>
    </xdr:pic>
    <xdr:clientData/>
  </xdr:twoCellAnchor>
  <xdr:twoCellAnchor>
    <xdr:from>
      <xdr:col>21</xdr:col>
      <xdr:colOff>304800</xdr:colOff>
      <xdr:row>2</xdr:row>
      <xdr:rowOff>133350</xdr:rowOff>
    </xdr:from>
    <xdr:to>
      <xdr:col>22</xdr:col>
      <xdr:colOff>88900</xdr:colOff>
      <xdr:row>21</xdr:row>
      <xdr:rowOff>158750</xdr:rowOff>
    </xdr:to>
    <xdr:sp macro="" textlink="">
      <xdr:nvSpPr>
        <xdr:cNvPr id="35" name="Prostokąt 34">
          <a:extLst>
            <a:ext uri="{FF2B5EF4-FFF2-40B4-BE49-F238E27FC236}">
              <a16:creationId xmlns:a16="http://schemas.microsoft.com/office/drawing/2014/main" id="{3B2F60EB-14DA-6DBC-E1ED-B3CA00D85A2C}"/>
            </a:ext>
          </a:extLst>
        </xdr:cNvPr>
        <xdr:cNvSpPr/>
      </xdr:nvSpPr>
      <xdr:spPr>
        <a:xfrm>
          <a:off x="12960350" y="488950"/>
          <a:ext cx="152400" cy="345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18</xdr:col>
      <xdr:colOff>82550</xdr:colOff>
      <xdr:row>3</xdr:row>
      <xdr:rowOff>82550</xdr:rowOff>
    </xdr:from>
    <xdr:to>
      <xdr:col>19</xdr:col>
      <xdr:colOff>330200</xdr:colOff>
      <xdr:row>20</xdr:row>
      <xdr:rowOff>101600</xdr:rowOff>
    </xdr:to>
    <xdr:sp macro="" textlink="">
      <xdr:nvSpPr>
        <xdr:cNvPr id="36" name="Nawias klamrowy otwierający 35">
          <a:extLst>
            <a:ext uri="{FF2B5EF4-FFF2-40B4-BE49-F238E27FC236}">
              <a16:creationId xmlns:a16="http://schemas.microsoft.com/office/drawing/2014/main" id="{8203B81E-9E65-1D06-9BAC-7730EDD17D7E}"/>
            </a:ext>
          </a:extLst>
        </xdr:cNvPr>
        <xdr:cNvSpPr/>
      </xdr:nvSpPr>
      <xdr:spPr>
        <a:xfrm>
          <a:off x="11055350" y="615950"/>
          <a:ext cx="857250" cy="3092450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20</xdr:col>
      <xdr:colOff>120650</xdr:colOff>
      <xdr:row>2</xdr:row>
      <xdr:rowOff>152400</xdr:rowOff>
    </xdr:from>
    <xdr:to>
      <xdr:col>20</xdr:col>
      <xdr:colOff>298450</xdr:colOff>
      <xdr:row>21</xdr:row>
      <xdr:rowOff>165100</xdr:rowOff>
    </xdr:to>
    <xdr:sp macro="" textlink="">
      <xdr:nvSpPr>
        <xdr:cNvPr id="38" name="Prostokąt 37">
          <a:extLst>
            <a:ext uri="{FF2B5EF4-FFF2-40B4-BE49-F238E27FC236}">
              <a16:creationId xmlns:a16="http://schemas.microsoft.com/office/drawing/2014/main" id="{D396BCF0-BBE4-4B41-A243-7C29C1171E85}"/>
            </a:ext>
          </a:extLst>
        </xdr:cNvPr>
        <xdr:cNvSpPr/>
      </xdr:nvSpPr>
      <xdr:spPr>
        <a:xfrm>
          <a:off x="12312650" y="508000"/>
          <a:ext cx="177800" cy="3441700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20</xdr:col>
      <xdr:colOff>482600</xdr:colOff>
      <xdr:row>2</xdr:row>
      <xdr:rowOff>171450</xdr:rowOff>
    </xdr:from>
    <xdr:to>
      <xdr:col>21</xdr:col>
      <xdr:colOff>44450</xdr:colOff>
      <xdr:row>22</xdr:row>
      <xdr:rowOff>19050</xdr:rowOff>
    </xdr:to>
    <xdr:sp macro="" textlink="">
      <xdr:nvSpPr>
        <xdr:cNvPr id="39" name="Prostokąt 38">
          <a:extLst>
            <a:ext uri="{FF2B5EF4-FFF2-40B4-BE49-F238E27FC236}">
              <a16:creationId xmlns:a16="http://schemas.microsoft.com/office/drawing/2014/main" id="{9C452FC2-6047-46F8-B0C7-A59E07E14D7B}"/>
            </a:ext>
          </a:extLst>
        </xdr:cNvPr>
        <xdr:cNvSpPr/>
      </xdr:nvSpPr>
      <xdr:spPr>
        <a:xfrm>
          <a:off x="12528550" y="527050"/>
          <a:ext cx="171450" cy="345440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 editAs="oneCell">
    <xdr:from>
      <xdr:col>7</xdr:col>
      <xdr:colOff>76201</xdr:colOff>
      <xdr:row>17</xdr:row>
      <xdr:rowOff>69850</xdr:rowOff>
    </xdr:from>
    <xdr:to>
      <xdr:col>13</xdr:col>
      <xdr:colOff>467133</xdr:colOff>
      <xdr:row>27</xdr:row>
      <xdr:rowOff>32072</xdr:rowOff>
    </xdr:to>
    <xdr:pic>
      <xdr:nvPicPr>
        <xdr:cNvPr id="32" name="Obraz 31">
          <a:extLst>
            <a:ext uri="{FF2B5EF4-FFF2-40B4-BE49-F238E27FC236}">
              <a16:creationId xmlns:a16="http://schemas.microsoft.com/office/drawing/2014/main" id="{30EBEBA0-9144-4DED-BFD9-4FCD60D4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1" y="3143250"/>
          <a:ext cx="4048532" cy="1740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10</xdr:row>
      <xdr:rowOff>107950</xdr:rowOff>
    </xdr:from>
    <xdr:to>
      <xdr:col>16</xdr:col>
      <xdr:colOff>12700</xdr:colOff>
      <xdr:row>17</xdr:row>
      <xdr:rowOff>165100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BB252520-C179-90AD-BA96-1281A6CF38BB}"/>
            </a:ext>
          </a:extLst>
        </xdr:cNvPr>
        <xdr:cNvCxnSpPr/>
      </xdr:nvCxnSpPr>
      <xdr:spPr>
        <a:xfrm flipH="1" flipV="1">
          <a:off x="3663950" y="1174750"/>
          <a:ext cx="635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203200</xdr:colOff>
      <xdr:row>11</xdr:row>
      <xdr:rowOff>0</xdr:rowOff>
    </xdr:from>
    <xdr:to>
      <xdr:col>19</xdr:col>
      <xdr:colOff>203200</xdr:colOff>
      <xdr:row>16</xdr:row>
      <xdr:rowOff>19050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10FD1ED1-ADFC-488E-8F13-120CB002A7E1}"/>
            </a:ext>
          </a:extLst>
        </xdr:cNvPr>
        <xdr:cNvCxnSpPr/>
      </xdr:nvCxnSpPr>
      <xdr:spPr>
        <a:xfrm flipV="1">
          <a:off x="5746750" y="1257300"/>
          <a:ext cx="0" cy="908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15</xdr:row>
      <xdr:rowOff>171450</xdr:rowOff>
    </xdr:from>
    <xdr:to>
      <xdr:col>19</xdr:col>
      <xdr:colOff>190500</xdr:colOff>
      <xdr:row>16</xdr:row>
      <xdr:rowOff>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F741B540-D9E8-4947-95A7-F88E7187A316}"/>
            </a:ext>
          </a:extLst>
        </xdr:cNvPr>
        <xdr:cNvCxnSpPr/>
      </xdr:nvCxnSpPr>
      <xdr:spPr>
        <a:xfrm flipV="1">
          <a:off x="4641850" y="2139950"/>
          <a:ext cx="10922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196850</xdr:colOff>
      <xdr:row>15</xdr:row>
      <xdr:rowOff>146050</xdr:rowOff>
    </xdr:from>
    <xdr:to>
      <xdr:col>16</xdr:col>
      <xdr:colOff>203200</xdr:colOff>
      <xdr:row>17</xdr:row>
      <xdr:rowOff>171450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874C8B3A-469D-4BEC-952B-3DB87B1C2CEF}"/>
            </a:ext>
          </a:extLst>
        </xdr:cNvPr>
        <xdr:cNvCxnSpPr/>
      </xdr:nvCxnSpPr>
      <xdr:spPr>
        <a:xfrm flipV="1">
          <a:off x="3854450" y="21018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12700</xdr:colOff>
      <xdr:row>12</xdr:row>
      <xdr:rowOff>158750</xdr:rowOff>
    </xdr:from>
    <xdr:to>
      <xdr:col>19</xdr:col>
      <xdr:colOff>12700</xdr:colOff>
      <xdr:row>18</xdr:row>
      <xdr:rowOff>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A783E0E8-0F15-7503-2D44-72493023792B}"/>
            </a:ext>
          </a:extLst>
        </xdr:cNvPr>
        <xdr:cNvCxnSpPr/>
      </xdr:nvCxnSpPr>
      <xdr:spPr>
        <a:xfrm flipV="1">
          <a:off x="4730750" y="1581150"/>
          <a:ext cx="0" cy="73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336550</xdr:colOff>
      <xdr:row>12</xdr:row>
      <xdr:rowOff>152400</xdr:rowOff>
    </xdr:from>
    <xdr:to>
      <xdr:col>18</xdr:col>
      <xdr:colOff>298450</xdr:colOff>
      <xdr:row>12</xdr:row>
      <xdr:rowOff>152400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6645FFFB-62B8-4E81-ACF2-B3D2F1AB9686}"/>
            </a:ext>
          </a:extLst>
        </xdr:cNvPr>
        <xdr:cNvCxnSpPr/>
      </xdr:nvCxnSpPr>
      <xdr:spPr>
        <a:xfrm flipH="1">
          <a:off x="3994150" y="1587500"/>
          <a:ext cx="717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31750</xdr:rowOff>
    </xdr:from>
    <xdr:to>
      <xdr:col>20</xdr:col>
      <xdr:colOff>6350</xdr:colOff>
      <xdr:row>18</xdr:row>
      <xdr:rowOff>19050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DAD1761B-4F39-4246-870F-5A10AF359842}"/>
            </a:ext>
          </a:extLst>
        </xdr:cNvPr>
        <xdr:cNvCxnSpPr/>
      </xdr:nvCxnSpPr>
      <xdr:spPr>
        <a:xfrm flipV="1">
          <a:off x="5105400" y="1276350"/>
          <a:ext cx="6350" cy="1054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10</xdr:row>
      <xdr:rowOff>146050</xdr:rowOff>
    </xdr:from>
    <xdr:to>
      <xdr:col>17</xdr:col>
      <xdr:colOff>12700</xdr:colOff>
      <xdr:row>13</xdr:row>
      <xdr:rowOff>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CCD83C1B-FF93-4AF7-B7D0-712587BD92D4}"/>
            </a:ext>
          </a:extLst>
        </xdr:cNvPr>
        <xdr:cNvCxnSpPr/>
      </xdr:nvCxnSpPr>
      <xdr:spPr>
        <a:xfrm flipH="1" flipV="1">
          <a:off x="4051300" y="1212850"/>
          <a:ext cx="6350" cy="387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</xdr:colOff>
      <xdr:row>17</xdr:row>
      <xdr:rowOff>165100</xdr:rowOff>
    </xdr:from>
    <xdr:to>
      <xdr:col>20</xdr:col>
      <xdr:colOff>12700</xdr:colOff>
      <xdr:row>18</xdr:row>
      <xdr:rowOff>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24BA224C-C8C3-44D0-844D-B4E97CD5030B}"/>
            </a:ext>
          </a:extLst>
        </xdr:cNvPr>
        <xdr:cNvCxnSpPr/>
      </xdr:nvCxnSpPr>
      <xdr:spPr>
        <a:xfrm>
          <a:off x="5264150" y="2311400"/>
          <a:ext cx="6794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18</xdr:row>
      <xdr:rowOff>0</xdr:rowOff>
    </xdr:from>
    <xdr:to>
      <xdr:col>16</xdr:col>
      <xdr:colOff>203200</xdr:colOff>
      <xdr:row>18</xdr:row>
      <xdr:rowOff>6350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162215C1-6128-41D5-8CE1-F747FA0CE623}"/>
            </a:ext>
          </a:extLst>
        </xdr:cNvPr>
        <xdr:cNvCxnSpPr/>
      </xdr:nvCxnSpPr>
      <xdr:spPr>
        <a:xfrm flipV="1">
          <a:off x="3873500" y="2501900"/>
          <a:ext cx="8128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18</xdr:row>
      <xdr:rowOff>0</xdr:rowOff>
    </xdr:from>
    <xdr:to>
      <xdr:col>14</xdr:col>
      <xdr:colOff>285750</xdr:colOff>
      <xdr:row>18</xdr:row>
      <xdr:rowOff>6350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9411D460-0052-4041-8A0D-9B98F08EC96D}"/>
            </a:ext>
          </a:extLst>
        </xdr:cNvPr>
        <xdr:cNvCxnSpPr/>
      </xdr:nvCxnSpPr>
      <xdr:spPr>
        <a:xfrm flipH="1" flipV="1">
          <a:off x="2324100" y="2324100"/>
          <a:ext cx="1568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17</xdr:row>
      <xdr:rowOff>63500</xdr:rowOff>
    </xdr:from>
    <xdr:to>
      <xdr:col>17</xdr:col>
      <xdr:colOff>63500</xdr:colOff>
      <xdr:row>17</xdr:row>
      <xdr:rowOff>76200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248259BB-9A58-4E42-BB58-74CC23B15CF8}"/>
            </a:ext>
          </a:extLst>
        </xdr:cNvPr>
        <xdr:cNvCxnSpPr/>
      </xdr:nvCxnSpPr>
      <xdr:spPr>
        <a:xfrm flipH="1" flipV="1">
          <a:off x="2990850" y="2387600"/>
          <a:ext cx="1943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10</xdr:row>
      <xdr:rowOff>107950</xdr:rowOff>
    </xdr:from>
    <xdr:to>
      <xdr:col>11</xdr:col>
      <xdr:colOff>12700</xdr:colOff>
      <xdr:row>17</xdr:row>
      <xdr:rowOff>165100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D1DA7C7E-CFA9-474C-8F66-47A069574D6C}"/>
            </a:ext>
          </a:extLst>
        </xdr:cNvPr>
        <xdr:cNvCxnSpPr/>
      </xdr:nvCxnSpPr>
      <xdr:spPr>
        <a:xfrm flipH="1" flipV="1">
          <a:off x="4489450" y="1181100"/>
          <a:ext cx="6350" cy="113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177800</xdr:rowOff>
    </xdr:from>
    <xdr:to>
      <xdr:col>14</xdr:col>
      <xdr:colOff>241300</xdr:colOff>
      <xdr:row>17</xdr:row>
      <xdr:rowOff>158750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263C4ED2-202D-4F41-8C30-BF1EDC930BB2}"/>
            </a:ext>
          </a:extLst>
        </xdr:cNvPr>
        <xdr:cNvCxnSpPr/>
      </xdr:nvCxnSpPr>
      <xdr:spPr>
        <a:xfrm flipH="1" flipV="1">
          <a:off x="3606800" y="1250950"/>
          <a:ext cx="2413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406400</xdr:colOff>
      <xdr:row>10</xdr:row>
      <xdr:rowOff>139700</xdr:rowOff>
    </xdr:from>
    <xdr:to>
      <xdr:col>14</xdr:col>
      <xdr:colOff>25400</xdr:colOff>
      <xdr:row>17</xdr:row>
      <xdr:rowOff>31750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97EC2142-B173-4C7E-BBC3-B555B1E3CD74}"/>
            </a:ext>
          </a:extLst>
        </xdr:cNvPr>
        <xdr:cNvCxnSpPr/>
      </xdr:nvCxnSpPr>
      <xdr:spPr>
        <a:xfrm flipH="1" flipV="1">
          <a:off x="5797550" y="1212850"/>
          <a:ext cx="3175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279400</xdr:colOff>
      <xdr:row>10</xdr:row>
      <xdr:rowOff>152400</xdr:rowOff>
    </xdr:from>
    <xdr:to>
      <xdr:col>12</xdr:col>
      <xdr:colOff>38100</xdr:colOff>
      <xdr:row>14</xdr:row>
      <xdr:rowOff>158750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10EBFE28-DC50-4F15-B8D0-DEB61C771AC3}"/>
            </a:ext>
          </a:extLst>
        </xdr:cNvPr>
        <xdr:cNvCxnSpPr/>
      </xdr:nvCxnSpPr>
      <xdr:spPr>
        <a:xfrm flipH="1" flipV="1">
          <a:off x="2647950" y="1225550"/>
          <a:ext cx="1714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15</xdr:row>
      <xdr:rowOff>165100</xdr:rowOff>
    </xdr:from>
    <xdr:to>
      <xdr:col>12</xdr:col>
      <xdr:colOff>260350</xdr:colOff>
      <xdr:row>17</xdr:row>
      <xdr:rowOff>101600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77F1E661-2DDC-4A6A-8A19-68B67F3F5274}"/>
            </a:ext>
          </a:extLst>
        </xdr:cNvPr>
        <xdr:cNvCxnSpPr/>
      </xdr:nvCxnSpPr>
      <xdr:spPr>
        <a:xfrm flipH="1" flipV="1">
          <a:off x="3035300" y="2133600"/>
          <a:ext cx="635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17</xdr:row>
      <xdr:rowOff>57150</xdr:rowOff>
    </xdr:from>
    <xdr:to>
      <xdr:col>17</xdr:col>
      <xdr:colOff>25400</xdr:colOff>
      <xdr:row>18</xdr:row>
      <xdr:rowOff>88900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B59738CB-FD29-48B3-92D2-762B4E675F08}"/>
            </a:ext>
          </a:extLst>
        </xdr:cNvPr>
        <xdr:cNvCxnSpPr/>
      </xdr:nvCxnSpPr>
      <xdr:spPr>
        <a:xfrm flipH="1" flipV="1">
          <a:off x="4889500" y="238125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10</xdr:row>
      <xdr:rowOff>107950</xdr:rowOff>
    </xdr:from>
    <xdr:to>
      <xdr:col>1</xdr:col>
      <xdr:colOff>12700</xdr:colOff>
      <xdr:row>17</xdr:row>
      <xdr:rowOff>165100</xdr:rowOff>
    </xdr:to>
    <xdr:cxnSp macro="">
      <xdr:nvCxnSpPr>
        <xdr:cNvPr id="60" name="Łącznik prosty ze strzałką 59">
          <a:extLst>
            <a:ext uri="{FF2B5EF4-FFF2-40B4-BE49-F238E27FC236}">
              <a16:creationId xmlns:a16="http://schemas.microsoft.com/office/drawing/2014/main" id="{032BC89A-AEDC-482E-AC16-1D330CA4D9F6}"/>
            </a:ext>
          </a:extLst>
        </xdr:cNvPr>
        <xdr:cNvCxnSpPr/>
      </xdr:nvCxnSpPr>
      <xdr:spPr>
        <a:xfrm flipH="1" flipV="1">
          <a:off x="5156200" y="1181100"/>
          <a:ext cx="635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13</xdr:row>
      <xdr:rowOff>171450</xdr:rowOff>
    </xdr:from>
    <xdr:to>
      <xdr:col>7</xdr:col>
      <xdr:colOff>101600</xdr:colOff>
      <xdr:row>18</xdr:row>
      <xdr:rowOff>50800</xdr:rowOff>
    </xdr:to>
    <xdr:cxnSp macro="">
      <xdr:nvCxnSpPr>
        <xdr:cNvPr id="61" name="Łącznik prosty ze strzałką 60">
          <a:extLst>
            <a:ext uri="{FF2B5EF4-FFF2-40B4-BE49-F238E27FC236}">
              <a16:creationId xmlns:a16="http://schemas.microsoft.com/office/drawing/2014/main" id="{87653952-0710-4CDC-AF17-2D4134F24DBC}"/>
            </a:ext>
          </a:extLst>
        </xdr:cNvPr>
        <xdr:cNvCxnSpPr/>
      </xdr:nvCxnSpPr>
      <xdr:spPr>
        <a:xfrm flipH="1" flipV="1">
          <a:off x="1866900" y="1784350"/>
          <a:ext cx="977900" cy="768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279400</xdr:colOff>
      <xdr:row>10</xdr:row>
      <xdr:rowOff>152400</xdr:rowOff>
    </xdr:from>
    <xdr:to>
      <xdr:col>2</xdr:col>
      <xdr:colOff>38100</xdr:colOff>
      <xdr:row>14</xdr:row>
      <xdr:rowOff>158750</xdr:rowOff>
    </xdr:to>
    <xdr:cxnSp macro="">
      <xdr:nvCxnSpPr>
        <xdr:cNvPr id="62" name="Łącznik prosty ze strzałką 61">
          <a:extLst>
            <a:ext uri="{FF2B5EF4-FFF2-40B4-BE49-F238E27FC236}">
              <a16:creationId xmlns:a16="http://schemas.microsoft.com/office/drawing/2014/main" id="{C4FAF890-EC8D-49F2-B477-316F4509FB15}"/>
            </a:ext>
          </a:extLst>
        </xdr:cNvPr>
        <xdr:cNvCxnSpPr/>
      </xdr:nvCxnSpPr>
      <xdr:spPr>
        <a:xfrm flipH="1" flipV="1">
          <a:off x="5429250" y="1225550"/>
          <a:ext cx="1714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254000</xdr:colOff>
      <xdr:row>15</xdr:row>
      <xdr:rowOff>165100</xdr:rowOff>
    </xdr:from>
    <xdr:to>
      <xdr:col>6</xdr:col>
      <xdr:colOff>247650</xdr:colOff>
      <xdr:row>18</xdr:row>
      <xdr:rowOff>57150</xdr:rowOff>
    </xdr:to>
    <xdr:cxnSp macro="">
      <xdr:nvCxnSpPr>
        <xdr:cNvPr id="63" name="Łącznik prosty ze strzałką 62">
          <a:extLst>
            <a:ext uri="{FF2B5EF4-FFF2-40B4-BE49-F238E27FC236}">
              <a16:creationId xmlns:a16="http://schemas.microsoft.com/office/drawing/2014/main" id="{CAAE7188-8A16-446B-BC22-7C8E40283ACF}"/>
            </a:ext>
          </a:extLst>
        </xdr:cNvPr>
        <xdr:cNvCxnSpPr/>
      </xdr:nvCxnSpPr>
      <xdr:spPr>
        <a:xfrm flipH="1" flipV="1">
          <a:off x="1181100" y="2133600"/>
          <a:ext cx="1555750" cy="425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425450</xdr:colOff>
      <xdr:row>18</xdr:row>
      <xdr:rowOff>6350</xdr:rowOff>
    </xdr:from>
    <xdr:to>
      <xdr:col>4</xdr:col>
      <xdr:colOff>139700</xdr:colOff>
      <xdr:row>18</xdr:row>
      <xdr:rowOff>12700</xdr:rowOff>
    </xdr:to>
    <xdr:cxnSp macro="">
      <xdr:nvCxnSpPr>
        <xdr:cNvPr id="64" name="Łącznik prosty ze strzałką 63">
          <a:extLst>
            <a:ext uri="{FF2B5EF4-FFF2-40B4-BE49-F238E27FC236}">
              <a16:creationId xmlns:a16="http://schemas.microsoft.com/office/drawing/2014/main" id="{650F3C2C-63E5-40FB-8220-F5693076E8FF}"/>
            </a:ext>
          </a:extLst>
        </xdr:cNvPr>
        <xdr:cNvCxnSpPr/>
      </xdr:nvCxnSpPr>
      <xdr:spPr>
        <a:xfrm flipH="1" flipV="1">
          <a:off x="425450" y="2508250"/>
          <a:ext cx="1568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10</xdr:row>
      <xdr:rowOff>171450</xdr:rowOff>
    </xdr:from>
    <xdr:to>
      <xdr:col>4</xdr:col>
      <xdr:colOff>69850</xdr:colOff>
      <xdr:row>17</xdr:row>
      <xdr:rowOff>152400</xdr:rowOff>
    </xdr:to>
    <xdr:cxnSp macro="">
      <xdr:nvCxnSpPr>
        <xdr:cNvPr id="67" name="Łącznik prosty ze strzałką 66">
          <a:extLst>
            <a:ext uri="{FF2B5EF4-FFF2-40B4-BE49-F238E27FC236}">
              <a16:creationId xmlns:a16="http://schemas.microsoft.com/office/drawing/2014/main" id="{324B13AF-FCA9-4B06-A5CF-70A82ACD799B}"/>
            </a:ext>
          </a:extLst>
        </xdr:cNvPr>
        <xdr:cNvCxnSpPr/>
      </xdr:nvCxnSpPr>
      <xdr:spPr>
        <a:xfrm flipH="1" flipV="1">
          <a:off x="1682750" y="1244600"/>
          <a:ext cx="2413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11</xdr:row>
      <xdr:rowOff>6350</xdr:rowOff>
    </xdr:from>
    <xdr:to>
      <xdr:col>3</xdr:col>
      <xdr:colOff>419100</xdr:colOff>
      <xdr:row>12</xdr:row>
      <xdr:rowOff>152400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BA6D222A-7476-4B67-A056-B3B528E5A735}"/>
            </a:ext>
          </a:extLst>
        </xdr:cNvPr>
        <xdr:cNvCxnSpPr/>
      </xdr:nvCxnSpPr>
      <xdr:spPr>
        <a:xfrm flipH="1" flipV="1">
          <a:off x="1797050" y="1263650"/>
          <a:ext cx="127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406400</xdr:colOff>
      <xdr:row>6</xdr:row>
      <xdr:rowOff>63500</xdr:rowOff>
    </xdr:from>
    <xdr:to>
      <xdr:col>14</xdr:col>
      <xdr:colOff>260350</xdr:colOff>
      <xdr:row>7</xdr:row>
      <xdr:rowOff>158750</xdr:rowOff>
    </xdr:to>
    <xdr:cxnSp macro="">
      <xdr:nvCxnSpPr>
        <xdr:cNvPr id="75" name="Łącznik prosty ze strzałką 74">
          <a:extLst>
            <a:ext uri="{FF2B5EF4-FFF2-40B4-BE49-F238E27FC236}">
              <a16:creationId xmlns:a16="http://schemas.microsoft.com/office/drawing/2014/main" id="{9FD77D1F-D9B8-C00D-B14D-67B45FDC64B1}"/>
            </a:ext>
          </a:extLst>
        </xdr:cNvPr>
        <xdr:cNvCxnSpPr/>
      </xdr:nvCxnSpPr>
      <xdr:spPr>
        <a:xfrm flipV="1">
          <a:off x="5080000" y="419100"/>
          <a:ext cx="679450" cy="273050"/>
        </a:xfrm>
        <a:prstGeom prst="straightConnector1">
          <a:avLst/>
        </a:prstGeom>
        <a:ln>
          <a:solidFill>
            <a:srgbClr val="FF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298450</xdr:colOff>
      <xdr:row>6</xdr:row>
      <xdr:rowOff>44450</xdr:rowOff>
    </xdr:from>
    <xdr:to>
      <xdr:col>17</xdr:col>
      <xdr:colOff>260350</xdr:colOff>
      <xdr:row>7</xdr:row>
      <xdr:rowOff>177800</xdr:rowOff>
    </xdr:to>
    <xdr:cxnSp macro="">
      <xdr:nvCxnSpPr>
        <xdr:cNvPr id="76" name="Łącznik prosty ze strzałką 75">
          <a:extLst>
            <a:ext uri="{FF2B5EF4-FFF2-40B4-BE49-F238E27FC236}">
              <a16:creationId xmlns:a16="http://schemas.microsoft.com/office/drawing/2014/main" id="{7E6CF7D6-3E98-4162-A0AC-16C4135B4765}"/>
            </a:ext>
          </a:extLst>
        </xdr:cNvPr>
        <xdr:cNvCxnSpPr/>
      </xdr:nvCxnSpPr>
      <xdr:spPr>
        <a:xfrm flipH="1" flipV="1">
          <a:off x="5797550" y="400050"/>
          <a:ext cx="1225550" cy="31115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6</xdr:row>
      <xdr:rowOff>6350</xdr:rowOff>
    </xdr:from>
    <xdr:to>
      <xdr:col>7</xdr:col>
      <xdr:colOff>31750</xdr:colOff>
      <xdr:row>8</xdr:row>
      <xdr:rowOff>12700</xdr:rowOff>
    </xdr:to>
    <xdr:cxnSp macro="">
      <xdr:nvCxnSpPr>
        <xdr:cNvPr id="79" name="Łącznik prosty ze strzałką 78">
          <a:extLst>
            <a:ext uri="{FF2B5EF4-FFF2-40B4-BE49-F238E27FC236}">
              <a16:creationId xmlns:a16="http://schemas.microsoft.com/office/drawing/2014/main" id="{BD737451-5ED2-4D80-8C85-A13FDBB685A2}"/>
            </a:ext>
          </a:extLst>
        </xdr:cNvPr>
        <xdr:cNvCxnSpPr/>
      </xdr:nvCxnSpPr>
      <xdr:spPr>
        <a:xfrm flipV="1">
          <a:off x="1657350" y="361950"/>
          <a:ext cx="1117600" cy="368300"/>
        </a:xfrm>
        <a:prstGeom prst="straightConnector1">
          <a:avLst/>
        </a:prstGeom>
        <a:ln>
          <a:solidFill>
            <a:srgbClr val="FF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6</xdr:row>
      <xdr:rowOff>6350</xdr:rowOff>
    </xdr:from>
    <xdr:to>
      <xdr:col>17</xdr:col>
      <xdr:colOff>139700</xdr:colOff>
      <xdr:row>8</xdr:row>
      <xdr:rowOff>12700</xdr:rowOff>
    </xdr:to>
    <xdr:cxnSp macro="">
      <xdr:nvCxnSpPr>
        <xdr:cNvPr id="82" name="Łącznik prosty ze strzałką 81">
          <a:extLst>
            <a:ext uri="{FF2B5EF4-FFF2-40B4-BE49-F238E27FC236}">
              <a16:creationId xmlns:a16="http://schemas.microsoft.com/office/drawing/2014/main" id="{A6A8F423-1524-488F-B343-4B7EDBA40898}"/>
            </a:ext>
          </a:extLst>
        </xdr:cNvPr>
        <xdr:cNvCxnSpPr/>
      </xdr:nvCxnSpPr>
      <xdr:spPr>
        <a:xfrm flipH="1" flipV="1">
          <a:off x="3079750" y="361950"/>
          <a:ext cx="3822700" cy="36830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14</xdr:row>
      <xdr:rowOff>107950</xdr:rowOff>
    </xdr:from>
    <xdr:to>
      <xdr:col>16</xdr:col>
      <xdr:colOff>12700</xdr:colOff>
      <xdr:row>21</xdr:row>
      <xdr:rowOff>165100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EA3870DB-2A58-413F-B6DA-CB34A55ECDA0}"/>
            </a:ext>
          </a:extLst>
        </xdr:cNvPr>
        <xdr:cNvCxnSpPr/>
      </xdr:nvCxnSpPr>
      <xdr:spPr>
        <a:xfrm flipH="1" flipV="1">
          <a:off x="6705600" y="1892300"/>
          <a:ext cx="635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203200</xdr:colOff>
      <xdr:row>15</xdr:row>
      <xdr:rowOff>0</xdr:rowOff>
    </xdr:from>
    <xdr:to>
      <xdr:col>19</xdr:col>
      <xdr:colOff>203200</xdr:colOff>
      <xdr:row>20</xdr:row>
      <xdr:rowOff>19050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7D21DC74-82DA-44B1-AB04-2E26F6681DC9}"/>
            </a:ext>
          </a:extLst>
        </xdr:cNvPr>
        <xdr:cNvCxnSpPr/>
      </xdr:nvCxnSpPr>
      <xdr:spPr>
        <a:xfrm flipV="1">
          <a:off x="7962900" y="1968500"/>
          <a:ext cx="0" cy="908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19</xdr:row>
      <xdr:rowOff>171450</xdr:rowOff>
    </xdr:from>
    <xdr:to>
      <xdr:col>19</xdr:col>
      <xdr:colOff>190500</xdr:colOff>
      <xdr:row>20</xdr:row>
      <xdr:rowOff>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1C2B72C9-55AE-4A63-B6AF-B329B4C2ECAA}"/>
            </a:ext>
          </a:extLst>
        </xdr:cNvPr>
        <xdr:cNvCxnSpPr/>
      </xdr:nvCxnSpPr>
      <xdr:spPr>
        <a:xfrm flipV="1">
          <a:off x="6858000" y="2851150"/>
          <a:ext cx="10922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196850</xdr:colOff>
      <xdr:row>19</xdr:row>
      <xdr:rowOff>146050</xdr:rowOff>
    </xdr:from>
    <xdr:to>
      <xdr:col>16</xdr:col>
      <xdr:colOff>203200</xdr:colOff>
      <xdr:row>21</xdr:row>
      <xdr:rowOff>171450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7BA29E6C-386B-4FAD-8A02-DBA44A212B4C}"/>
            </a:ext>
          </a:extLst>
        </xdr:cNvPr>
        <xdr:cNvCxnSpPr/>
      </xdr:nvCxnSpPr>
      <xdr:spPr>
        <a:xfrm flipV="1">
          <a:off x="6896100" y="2825750"/>
          <a:ext cx="6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12700</xdr:colOff>
      <xdr:row>16</xdr:row>
      <xdr:rowOff>158750</xdr:rowOff>
    </xdr:from>
    <xdr:to>
      <xdr:col>19</xdr:col>
      <xdr:colOff>12700</xdr:colOff>
      <xdr:row>22</xdr:row>
      <xdr:rowOff>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8D155D52-7394-40D2-B209-C89FBF439DD2}"/>
            </a:ext>
          </a:extLst>
        </xdr:cNvPr>
        <xdr:cNvCxnSpPr/>
      </xdr:nvCxnSpPr>
      <xdr:spPr>
        <a:xfrm flipV="1">
          <a:off x="7772400" y="2305050"/>
          <a:ext cx="0" cy="908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336550</xdr:colOff>
      <xdr:row>16</xdr:row>
      <xdr:rowOff>152400</xdr:rowOff>
    </xdr:from>
    <xdr:to>
      <xdr:col>18</xdr:col>
      <xdr:colOff>298450</xdr:colOff>
      <xdr:row>16</xdr:row>
      <xdr:rowOff>152400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83B3B4B5-A39C-466F-8C32-2F8F1CEE3E46}"/>
            </a:ext>
          </a:extLst>
        </xdr:cNvPr>
        <xdr:cNvCxnSpPr/>
      </xdr:nvCxnSpPr>
      <xdr:spPr>
        <a:xfrm flipH="1">
          <a:off x="7035800" y="2298700"/>
          <a:ext cx="717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</xdr:row>
      <xdr:rowOff>31750</xdr:rowOff>
    </xdr:from>
    <xdr:to>
      <xdr:col>20</xdr:col>
      <xdr:colOff>6350</xdr:colOff>
      <xdr:row>22</xdr:row>
      <xdr:rowOff>19050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9D8845F1-FDF9-40FC-B01B-9F4ED57E3EE2}"/>
            </a:ext>
          </a:extLst>
        </xdr:cNvPr>
        <xdr:cNvCxnSpPr/>
      </xdr:nvCxnSpPr>
      <xdr:spPr>
        <a:xfrm flipV="1">
          <a:off x="8147050" y="2000250"/>
          <a:ext cx="635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6350</xdr:colOff>
      <xdr:row>14</xdr:row>
      <xdr:rowOff>146050</xdr:rowOff>
    </xdr:from>
    <xdr:to>
      <xdr:col>17</xdr:col>
      <xdr:colOff>12700</xdr:colOff>
      <xdr:row>17</xdr:row>
      <xdr:rowOff>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74952BBF-063F-426A-BE35-B17B83BC1BB8}"/>
            </a:ext>
          </a:extLst>
        </xdr:cNvPr>
        <xdr:cNvCxnSpPr/>
      </xdr:nvCxnSpPr>
      <xdr:spPr>
        <a:xfrm flipH="1" flipV="1">
          <a:off x="7092950" y="1930400"/>
          <a:ext cx="635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</xdr:colOff>
      <xdr:row>21</xdr:row>
      <xdr:rowOff>165100</xdr:rowOff>
    </xdr:from>
    <xdr:to>
      <xdr:col>20</xdr:col>
      <xdr:colOff>12700</xdr:colOff>
      <xdr:row>22</xdr:row>
      <xdr:rowOff>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55D4DD13-97AB-48E1-B16A-C5BBA7F729FF}"/>
            </a:ext>
          </a:extLst>
        </xdr:cNvPr>
        <xdr:cNvCxnSpPr/>
      </xdr:nvCxnSpPr>
      <xdr:spPr>
        <a:xfrm>
          <a:off x="7480300" y="3200400"/>
          <a:ext cx="6794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22</xdr:row>
      <xdr:rowOff>0</xdr:rowOff>
    </xdr:from>
    <xdr:to>
      <xdr:col>16</xdr:col>
      <xdr:colOff>203200</xdr:colOff>
      <xdr:row>22</xdr:row>
      <xdr:rowOff>6350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5B242217-D19A-46DA-8313-F6B166D2F86C}"/>
            </a:ext>
          </a:extLst>
        </xdr:cNvPr>
        <xdr:cNvCxnSpPr/>
      </xdr:nvCxnSpPr>
      <xdr:spPr>
        <a:xfrm flipV="1">
          <a:off x="6089650" y="3213100"/>
          <a:ext cx="8128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22</xdr:row>
      <xdr:rowOff>0</xdr:rowOff>
    </xdr:from>
    <xdr:to>
      <xdr:col>14</xdr:col>
      <xdr:colOff>285750</xdr:colOff>
      <xdr:row>22</xdr:row>
      <xdr:rowOff>6350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5865544D-EB6C-4700-AAE6-222D54E3717E}"/>
            </a:ext>
          </a:extLst>
        </xdr:cNvPr>
        <xdr:cNvCxnSpPr/>
      </xdr:nvCxnSpPr>
      <xdr:spPr>
        <a:xfrm flipH="1" flipV="1">
          <a:off x="4540250" y="3213100"/>
          <a:ext cx="1568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21</xdr:row>
      <xdr:rowOff>63500</xdr:rowOff>
    </xdr:from>
    <xdr:to>
      <xdr:col>17</xdr:col>
      <xdr:colOff>63500</xdr:colOff>
      <xdr:row>21</xdr:row>
      <xdr:rowOff>76200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AA3A1F43-D8B7-4846-AC96-3F37DBFF1869}"/>
            </a:ext>
          </a:extLst>
        </xdr:cNvPr>
        <xdr:cNvCxnSpPr/>
      </xdr:nvCxnSpPr>
      <xdr:spPr>
        <a:xfrm flipH="1" flipV="1">
          <a:off x="5207000" y="3098800"/>
          <a:ext cx="1943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</xdr:colOff>
      <xdr:row>14</xdr:row>
      <xdr:rowOff>107950</xdr:rowOff>
    </xdr:from>
    <xdr:to>
      <xdr:col>11</xdr:col>
      <xdr:colOff>12700</xdr:colOff>
      <xdr:row>21</xdr:row>
      <xdr:rowOff>165100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D4B06048-6B9B-4E96-AA14-2BBBBCC1AFF3}"/>
            </a:ext>
          </a:extLst>
        </xdr:cNvPr>
        <xdr:cNvCxnSpPr/>
      </xdr:nvCxnSpPr>
      <xdr:spPr>
        <a:xfrm flipH="1" flipV="1">
          <a:off x="4591050" y="1892300"/>
          <a:ext cx="635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177800</xdr:rowOff>
    </xdr:from>
    <xdr:to>
      <xdr:col>14</xdr:col>
      <xdr:colOff>241300</xdr:colOff>
      <xdr:row>21</xdr:row>
      <xdr:rowOff>158750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3656FC6B-1AAF-43DC-A88A-DB2356EF8C50}"/>
            </a:ext>
          </a:extLst>
        </xdr:cNvPr>
        <xdr:cNvCxnSpPr/>
      </xdr:nvCxnSpPr>
      <xdr:spPr>
        <a:xfrm flipH="1" flipV="1">
          <a:off x="5822950" y="1962150"/>
          <a:ext cx="2413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406400</xdr:colOff>
      <xdr:row>14</xdr:row>
      <xdr:rowOff>139700</xdr:rowOff>
    </xdr:from>
    <xdr:to>
      <xdr:col>14</xdr:col>
      <xdr:colOff>25400</xdr:colOff>
      <xdr:row>21</xdr:row>
      <xdr:rowOff>31750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412CEA18-2F42-4EF6-A5A0-44D9CD43EF93}"/>
            </a:ext>
          </a:extLst>
        </xdr:cNvPr>
        <xdr:cNvCxnSpPr/>
      </xdr:nvCxnSpPr>
      <xdr:spPr>
        <a:xfrm flipH="1" flipV="1">
          <a:off x="5816600" y="1924050"/>
          <a:ext cx="3175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279400</xdr:colOff>
      <xdr:row>14</xdr:row>
      <xdr:rowOff>152400</xdr:rowOff>
    </xdr:from>
    <xdr:to>
      <xdr:col>12</xdr:col>
      <xdr:colOff>38100</xdr:colOff>
      <xdr:row>18</xdr:row>
      <xdr:rowOff>158750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EFF37BBC-DAA6-43F9-B53D-19AEE0D50141}"/>
            </a:ext>
          </a:extLst>
        </xdr:cNvPr>
        <xdr:cNvCxnSpPr/>
      </xdr:nvCxnSpPr>
      <xdr:spPr>
        <a:xfrm flipH="1" flipV="1">
          <a:off x="4864100" y="1936750"/>
          <a:ext cx="1714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19</xdr:row>
      <xdr:rowOff>165100</xdr:rowOff>
    </xdr:from>
    <xdr:to>
      <xdr:col>12</xdr:col>
      <xdr:colOff>260350</xdr:colOff>
      <xdr:row>21</xdr:row>
      <xdr:rowOff>101600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ED3E553B-8B8B-40FE-9808-EEDF2FEE1739}"/>
            </a:ext>
          </a:extLst>
        </xdr:cNvPr>
        <xdr:cNvCxnSpPr/>
      </xdr:nvCxnSpPr>
      <xdr:spPr>
        <a:xfrm flipH="1" flipV="1">
          <a:off x="5251450" y="2844800"/>
          <a:ext cx="63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21</xdr:row>
      <xdr:rowOff>57150</xdr:rowOff>
    </xdr:from>
    <xdr:to>
      <xdr:col>17</xdr:col>
      <xdr:colOff>25400</xdr:colOff>
      <xdr:row>22</xdr:row>
      <xdr:rowOff>88900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1CCE7824-8077-47CC-BA7A-73B23FA089AF}"/>
            </a:ext>
          </a:extLst>
        </xdr:cNvPr>
        <xdr:cNvCxnSpPr/>
      </xdr:nvCxnSpPr>
      <xdr:spPr>
        <a:xfrm flipH="1" flipV="1">
          <a:off x="7105650" y="3092450"/>
          <a:ext cx="6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14</xdr:row>
      <xdr:rowOff>107950</xdr:rowOff>
    </xdr:from>
    <xdr:to>
      <xdr:col>1</xdr:col>
      <xdr:colOff>12700</xdr:colOff>
      <xdr:row>21</xdr:row>
      <xdr:rowOff>165100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172616C3-8A9B-4C9D-B127-3D8BBA559A7B}"/>
            </a:ext>
          </a:extLst>
        </xdr:cNvPr>
        <xdr:cNvCxnSpPr/>
      </xdr:nvCxnSpPr>
      <xdr:spPr>
        <a:xfrm flipH="1" flipV="1">
          <a:off x="469900" y="1892300"/>
          <a:ext cx="635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17</xdr:row>
      <xdr:rowOff>171450</xdr:rowOff>
    </xdr:from>
    <xdr:to>
      <xdr:col>7</xdr:col>
      <xdr:colOff>101600</xdr:colOff>
      <xdr:row>22</xdr:row>
      <xdr:rowOff>50800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934016A8-97F8-422F-AA4F-095CD35E116C}"/>
            </a:ext>
          </a:extLst>
        </xdr:cNvPr>
        <xdr:cNvCxnSpPr/>
      </xdr:nvCxnSpPr>
      <xdr:spPr>
        <a:xfrm flipH="1" flipV="1">
          <a:off x="1866900" y="2495550"/>
          <a:ext cx="977900" cy="768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279400</xdr:colOff>
      <xdr:row>14</xdr:row>
      <xdr:rowOff>152400</xdr:rowOff>
    </xdr:from>
    <xdr:to>
      <xdr:col>2</xdr:col>
      <xdr:colOff>38100</xdr:colOff>
      <xdr:row>18</xdr:row>
      <xdr:rowOff>158750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249B1397-BDBE-4862-A359-BC13BCD3C320}"/>
            </a:ext>
          </a:extLst>
        </xdr:cNvPr>
        <xdr:cNvCxnSpPr/>
      </xdr:nvCxnSpPr>
      <xdr:spPr>
        <a:xfrm flipH="1" flipV="1">
          <a:off x="742950" y="1936750"/>
          <a:ext cx="2222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254000</xdr:colOff>
      <xdr:row>19</xdr:row>
      <xdr:rowOff>165100</xdr:rowOff>
    </xdr:from>
    <xdr:to>
      <xdr:col>6</xdr:col>
      <xdr:colOff>247650</xdr:colOff>
      <xdr:row>22</xdr:row>
      <xdr:rowOff>57150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5557DD19-42CB-4217-AF15-06A445101BE2}"/>
            </a:ext>
          </a:extLst>
        </xdr:cNvPr>
        <xdr:cNvCxnSpPr/>
      </xdr:nvCxnSpPr>
      <xdr:spPr>
        <a:xfrm flipH="1" flipV="1">
          <a:off x="1181100" y="2844800"/>
          <a:ext cx="1555750" cy="425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425450</xdr:colOff>
      <xdr:row>22</xdr:row>
      <xdr:rowOff>6350</xdr:rowOff>
    </xdr:from>
    <xdr:to>
      <xdr:col>4</xdr:col>
      <xdr:colOff>139700</xdr:colOff>
      <xdr:row>22</xdr:row>
      <xdr:rowOff>12700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91DC6B52-8F6A-4B45-B351-429ADD8D4DAD}"/>
            </a:ext>
          </a:extLst>
        </xdr:cNvPr>
        <xdr:cNvCxnSpPr/>
      </xdr:nvCxnSpPr>
      <xdr:spPr>
        <a:xfrm flipH="1" flipV="1">
          <a:off x="425450" y="3219450"/>
          <a:ext cx="1568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14</xdr:row>
      <xdr:rowOff>171450</xdr:rowOff>
    </xdr:from>
    <xdr:to>
      <xdr:col>4</xdr:col>
      <xdr:colOff>69850</xdr:colOff>
      <xdr:row>21</xdr:row>
      <xdr:rowOff>152400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3AEE7CF0-DA58-4C18-952B-9E646BE9AC3D}"/>
            </a:ext>
          </a:extLst>
        </xdr:cNvPr>
        <xdr:cNvCxnSpPr/>
      </xdr:nvCxnSpPr>
      <xdr:spPr>
        <a:xfrm flipH="1" flipV="1">
          <a:off x="1682750" y="1955800"/>
          <a:ext cx="2413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15</xdr:row>
      <xdr:rowOff>6350</xdr:rowOff>
    </xdr:from>
    <xdr:to>
      <xdr:col>3</xdr:col>
      <xdr:colOff>419100</xdr:colOff>
      <xdr:row>16</xdr:row>
      <xdr:rowOff>152400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B827C05C-909C-401A-A58C-F7B3FB095345}"/>
            </a:ext>
          </a:extLst>
        </xdr:cNvPr>
        <xdr:cNvCxnSpPr/>
      </xdr:nvCxnSpPr>
      <xdr:spPr>
        <a:xfrm flipH="1" flipV="1">
          <a:off x="1797050" y="1974850"/>
          <a:ext cx="127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406400</xdr:colOff>
      <xdr:row>10</xdr:row>
      <xdr:rowOff>63500</xdr:rowOff>
    </xdr:from>
    <xdr:to>
      <xdr:col>14</xdr:col>
      <xdr:colOff>260350</xdr:colOff>
      <xdr:row>11</xdr:row>
      <xdr:rowOff>158750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4A43E513-41DA-4F25-9F0B-FBD3286D1469}"/>
            </a:ext>
          </a:extLst>
        </xdr:cNvPr>
        <xdr:cNvCxnSpPr/>
      </xdr:nvCxnSpPr>
      <xdr:spPr>
        <a:xfrm flipV="1">
          <a:off x="5403850" y="1130300"/>
          <a:ext cx="679450" cy="273050"/>
        </a:xfrm>
        <a:prstGeom prst="straightConnector1">
          <a:avLst/>
        </a:prstGeom>
        <a:ln>
          <a:solidFill>
            <a:srgbClr val="FF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298450</xdr:colOff>
      <xdr:row>10</xdr:row>
      <xdr:rowOff>44450</xdr:rowOff>
    </xdr:from>
    <xdr:to>
      <xdr:col>17</xdr:col>
      <xdr:colOff>260350</xdr:colOff>
      <xdr:row>11</xdr:row>
      <xdr:rowOff>177800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1761136D-5805-436C-9FDA-AF50B2A78E4D}"/>
            </a:ext>
          </a:extLst>
        </xdr:cNvPr>
        <xdr:cNvCxnSpPr/>
      </xdr:nvCxnSpPr>
      <xdr:spPr>
        <a:xfrm flipH="1" flipV="1">
          <a:off x="6121400" y="1111250"/>
          <a:ext cx="1225550" cy="31115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10</xdr:row>
      <xdr:rowOff>6350</xdr:rowOff>
    </xdr:from>
    <xdr:to>
      <xdr:col>7</xdr:col>
      <xdr:colOff>31750</xdr:colOff>
      <xdr:row>12</xdr:row>
      <xdr:rowOff>12700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248A13D6-5147-4954-8752-3CF48222360F}"/>
            </a:ext>
          </a:extLst>
        </xdr:cNvPr>
        <xdr:cNvCxnSpPr/>
      </xdr:nvCxnSpPr>
      <xdr:spPr>
        <a:xfrm flipV="1">
          <a:off x="1657350" y="1073150"/>
          <a:ext cx="1117600" cy="368300"/>
        </a:xfrm>
        <a:prstGeom prst="straightConnector1">
          <a:avLst/>
        </a:prstGeom>
        <a:ln>
          <a:solidFill>
            <a:srgbClr val="FF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</xdr:colOff>
      <xdr:row>10</xdr:row>
      <xdr:rowOff>6350</xdr:rowOff>
    </xdr:from>
    <xdr:to>
      <xdr:col>17</xdr:col>
      <xdr:colOff>139700</xdr:colOff>
      <xdr:row>12</xdr:row>
      <xdr:rowOff>12700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5D5B211E-19B4-4D37-BA3F-B034E9A5DB69}"/>
            </a:ext>
          </a:extLst>
        </xdr:cNvPr>
        <xdr:cNvCxnSpPr/>
      </xdr:nvCxnSpPr>
      <xdr:spPr>
        <a:xfrm flipH="1" flipV="1">
          <a:off x="3263900" y="1073150"/>
          <a:ext cx="3962400" cy="36830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107950</xdr:colOff>
      <xdr:row>3</xdr:row>
      <xdr:rowOff>63500</xdr:rowOff>
    </xdr:from>
    <xdr:to>
      <xdr:col>7</xdr:col>
      <xdr:colOff>158750</xdr:colOff>
      <xdr:row>22</xdr:row>
      <xdr:rowOff>6350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5AA3487D-8A29-C798-CEFB-A61ECDE0F3DC}"/>
            </a:ext>
          </a:extLst>
        </xdr:cNvPr>
        <xdr:cNvCxnSpPr/>
      </xdr:nvCxnSpPr>
      <xdr:spPr>
        <a:xfrm flipV="1">
          <a:off x="2851150" y="241300"/>
          <a:ext cx="50800" cy="333375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3</xdr:row>
      <xdr:rowOff>38100</xdr:rowOff>
    </xdr:from>
    <xdr:to>
      <xdr:col>4</xdr:col>
      <xdr:colOff>279400</xdr:colOff>
      <xdr:row>21</xdr:row>
      <xdr:rowOff>158750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1FDB1154-BB29-4426-8BAD-E2EA996CA992}"/>
            </a:ext>
          </a:extLst>
        </xdr:cNvPr>
        <xdr:cNvCxnSpPr/>
      </xdr:nvCxnSpPr>
      <xdr:spPr>
        <a:xfrm flipV="1">
          <a:off x="2082800" y="215900"/>
          <a:ext cx="50800" cy="333375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158751</xdr:colOff>
      <xdr:row>3</xdr:row>
      <xdr:rowOff>89774</xdr:rowOff>
    </xdr:from>
    <xdr:to>
      <xdr:col>14</xdr:col>
      <xdr:colOff>209551</xdr:colOff>
      <xdr:row>22</xdr:row>
      <xdr:rowOff>32624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A6A454B3-A482-4FB8-93C5-019A748D61B0}"/>
            </a:ext>
          </a:extLst>
        </xdr:cNvPr>
        <xdr:cNvCxnSpPr/>
      </xdr:nvCxnSpPr>
      <xdr:spPr>
        <a:xfrm flipV="1">
          <a:off x="5981701" y="267574"/>
          <a:ext cx="50800" cy="333375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</xdr:row>
      <xdr:rowOff>70724</xdr:rowOff>
    </xdr:from>
    <xdr:to>
      <xdr:col>17</xdr:col>
      <xdr:colOff>50801</xdr:colOff>
      <xdr:row>22</xdr:row>
      <xdr:rowOff>13574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737E994A-51B5-45CB-BBBF-F214011A08D4}"/>
            </a:ext>
          </a:extLst>
        </xdr:cNvPr>
        <xdr:cNvCxnSpPr/>
      </xdr:nvCxnSpPr>
      <xdr:spPr>
        <a:xfrm flipV="1">
          <a:off x="7080251" y="248524"/>
          <a:ext cx="50800" cy="333375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4</xdr:row>
      <xdr:rowOff>146050</xdr:rowOff>
    </xdr:from>
    <xdr:to>
      <xdr:col>11</xdr:col>
      <xdr:colOff>400050</xdr:colOff>
      <xdr:row>5</xdr:row>
      <xdr:rowOff>69850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1819FFCC-DF82-9BAB-4295-983D1CD6C044}"/>
            </a:ext>
          </a:extLst>
        </xdr:cNvPr>
        <xdr:cNvCxnSpPr/>
      </xdr:nvCxnSpPr>
      <xdr:spPr>
        <a:xfrm flipH="1" flipV="1">
          <a:off x="3651250" y="857250"/>
          <a:ext cx="1416050" cy="10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2</xdr:row>
      <xdr:rowOff>69850</xdr:rowOff>
    </xdr:from>
    <xdr:to>
      <xdr:col>20</xdr:col>
      <xdr:colOff>6350</xdr:colOff>
      <xdr:row>2</xdr:row>
      <xdr:rowOff>69850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ECB77FF5-A69E-46AE-843C-901D11E723DD}"/>
            </a:ext>
          </a:extLst>
        </xdr:cNvPr>
        <xdr:cNvCxnSpPr/>
      </xdr:nvCxnSpPr>
      <xdr:spPr>
        <a:xfrm>
          <a:off x="2628900" y="425450"/>
          <a:ext cx="5518150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260350</xdr:colOff>
      <xdr:row>2</xdr:row>
      <xdr:rowOff>82550</xdr:rowOff>
    </xdr:from>
    <xdr:to>
      <xdr:col>27</xdr:col>
      <xdr:colOff>215900</xdr:colOff>
      <xdr:row>14</xdr:row>
      <xdr:rowOff>158750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55D0944E-E9DF-098F-38AE-4C1BF785359C}"/>
            </a:ext>
          </a:extLst>
        </xdr:cNvPr>
        <xdr:cNvCxnSpPr/>
      </xdr:nvCxnSpPr>
      <xdr:spPr>
        <a:xfrm flipH="1">
          <a:off x="11741150" y="438150"/>
          <a:ext cx="565150" cy="2216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14</xdr:row>
      <xdr:rowOff>107950</xdr:rowOff>
    </xdr:from>
    <xdr:to>
      <xdr:col>1</xdr:col>
      <xdr:colOff>12700</xdr:colOff>
      <xdr:row>21</xdr:row>
      <xdr:rowOff>165100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16D24109-2D64-4DB4-B7D5-5172ED9658DB}"/>
            </a:ext>
          </a:extLst>
        </xdr:cNvPr>
        <xdr:cNvCxnSpPr/>
      </xdr:nvCxnSpPr>
      <xdr:spPr>
        <a:xfrm flipH="1" flipV="1">
          <a:off x="469900" y="2603500"/>
          <a:ext cx="635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17</xdr:row>
      <xdr:rowOff>171450</xdr:rowOff>
    </xdr:from>
    <xdr:to>
      <xdr:col>7</xdr:col>
      <xdr:colOff>101600</xdr:colOff>
      <xdr:row>22</xdr:row>
      <xdr:rowOff>50800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88AED5B0-09C5-40E3-BCAC-6AB53EB9FA52}"/>
            </a:ext>
          </a:extLst>
        </xdr:cNvPr>
        <xdr:cNvCxnSpPr/>
      </xdr:nvCxnSpPr>
      <xdr:spPr>
        <a:xfrm flipH="1" flipV="1">
          <a:off x="1866900" y="3206750"/>
          <a:ext cx="1060450" cy="768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279400</xdr:colOff>
      <xdr:row>14</xdr:row>
      <xdr:rowOff>152400</xdr:rowOff>
    </xdr:from>
    <xdr:to>
      <xdr:col>2</xdr:col>
      <xdr:colOff>38100</xdr:colOff>
      <xdr:row>18</xdr:row>
      <xdr:rowOff>158750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A3B85722-6CA1-472E-A3C8-EAF142F10CC4}"/>
            </a:ext>
          </a:extLst>
        </xdr:cNvPr>
        <xdr:cNvCxnSpPr/>
      </xdr:nvCxnSpPr>
      <xdr:spPr>
        <a:xfrm flipH="1" flipV="1">
          <a:off x="742950" y="2647950"/>
          <a:ext cx="2222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254000</xdr:colOff>
      <xdr:row>19</xdr:row>
      <xdr:rowOff>165100</xdr:rowOff>
    </xdr:from>
    <xdr:to>
      <xdr:col>6</xdr:col>
      <xdr:colOff>247650</xdr:colOff>
      <xdr:row>22</xdr:row>
      <xdr:rowOff>57150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DC52BEBB-87B1-46F8-98D8-8D83A366E4CC}"/>
            </a:ext>
          </a:extLst>
        </xdr:cNvPr>
        <xdr:cNvCxnSpPr/>
      </xdr:nvCxnSpPr>
      <xdr:spPr>
        <a:xfrm flipH="1" flipV="1">
          <a:off x="1181100" y="3556000"/>
          <a:ext cx="1581150" cy="425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425450</xdr:colOff>
      <xdr:row>22</xdr:row>
      <xdr:rowOff>6350</xdr:rowOff>
    </xdr:from>
    <xdr:to>
      <xdr:col>4</xdr:col>
      <xdr:colOff>139700</xdr:colOff>
      <xdr:row>22</xdr:row>
      <xdr:rowOff>12700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EA812FEE-A794-4B09-9399-DCD2C09CF648}"/>
            </a:ext>
          </a:extLst>
        </xdr:cNvPr>
        <xdr:cNvCxnSpPr/>
      </xdr:nvCxnSpPr>
      <xdr:spPr>
        <a:xfrm flipH="1" flipV="1">
          <a:off x="425450" y="3930650"/>
          <a:ext cx="15684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14</xdr:row>
      <xdr:rowOff>171450</xdr:rowOff>
    </xdr:from>
    <xdr:to>
      <xdr:col>4</xdr:col>
      <xdr:colOff>69850</xdr:colOff>
      <xdr:row>21</xdr:row>
      <xdr:rowOff>152400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FB5C7785-FC60-432D-9FE0-AA88709B51B2}"/>
            </a:ext>
          </a:extLst>
        </xdr:cNvPr>
        <xdr:cNvCxnSpPr/>
      </xdr:nvCxnSpPr>
      <xdr:spPr>
        <a:xfrm flipH="1" flipV="1">
          <a:off x="1682750" y="2667000"/>
          <a:ext cx="2413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15</xdr:row>
      <xdr:rowOff>6350</xdr:rowOff>
    </xdr:from>
    <xdr:to>
      <xdr:col>3</xdr:col>
      <xdr:colOff>419100</xdr:colOff>
      <xdr:row>16</xdr:row>
      <xdr:rowOff>152400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54504988-3C94-4C80-B1A9-685BBE10C7BD}"/>
            </a:ext>
          </a:extLst>
        </xdr:cNvPr>
        <xdr:cNvCxnSpPr/>
      </xdr:nvCxnSpPr>
      <xdr:spPr>
        <a:xfrm flipH="1" flipV="1">
          <a:off x="1797050" y="2686050"/>
          <a:ext cx="127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10</xdr:row>
      <xdr:rowOff>6350</xdr:rowOff>
    </xdr:from>
    <xdr:to>
      <xdr:col>7</xdr:col>
      <xdr:colOff>31750</xdr:colOff>
      <xdr:row>12</xdr:row>
      <xdr:rowOff>12700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B4D8024F-A4F1-41E8-A95B-4A80165759DA}"/>
            </a:ext>
          </a:extLst>
        </xdr:cNvPr>
        <xdr:cNvCxnSpPr/>
      </xdr:nvCxnSpPr>
      <xdr:spPr>
        <a:xfrm flipV="1">
          <a:off x="1657350" y="1784350"/>
          <a:ext cx="1200150" cy="368300"/>
        </a:xfrm>
        <a:prstGeom prst="straightConnector1">
          <a:avLst/>
        </a:prstGeom>
        <a:ln>
          <a:solidFill>
            <a:srgbClr val="FF66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3</xdr:row>
      <xdr:rowOff>95250</xdr:rowOff>
    </xdr:from>
    <xdr:to>
      <xdr:col>8</xdr:col>
      <xdr:colOff>0</xdr:colOff>
      <xdr:row>22</xdr:row>
      <xdr:rowOff>38100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DCC0F3C3-67BA-4176-BC52-5ED690001A96}"/>
            </a:ext>
          </a:extLst>
        </xdr:cNvPr>
        <xdr:cNvCxnSpPr/>
      </xdr:nvCxnSpPr>
      <xdr:spPr>
        <a:xfrm flipV="1">
          <a:off x="3282950" y="628650"/>
          <a:ext cx="50800" cy="333375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4</xdr:row>
      <xdr:rowOff>44450</xdr:rowOff>
    </xdr:from>
    <xdr:to>
      <xdr:col>4</xdr:col>
      <xdr:colOff>228600</xdr:colOff>
      <xdr:row>21</xdr:row>
      <xdr:rowOff>158750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81F1292A-C7A1-4575-8CD4-49803796F069}"/>
            </a:ext>
          </a:extLst>
        </xdr:cNvPr>
        <xdr:cNvCxnSpPr/>
      </xdr:nvCxnSpPr>
      <xdr:spPr>
        <a:xfrm flipV="1">
          <a:off x="2082800" y="755650"/>
          <a:ext cx="0" cy="3149600"/>
        </a:xfrm>
        <a:prstGeom prst="straightConnector1">
          <a:avLst/>
        </a:prstGeom>
        <a:ln w="127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15</xdr:row>
      <xdr:rowOff>31750</xdr:rowOff>
    </xdr:from>
    <xdr:to>
      <xdr:col>10</xdr:col>
      <xdr:colOff>228600</xdr:colOff>
      <xdr:row>16</xdr:row>
      <xdr:rowOff>12700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30ADB3A5-E44D-47B0-9498-D3CFD0E3E193}"/>
            </a:ext>
          </a:extLst>
        </xdr:cNvPr>
        <xdr:cNvCxnSpPr/>
      </xdr:nvCxnSpPr>
      <xdr:spPr>
        <a:xfrm flipV="1">
          <a:off x="3759200" y="2711450"/>
          <a:ext cx="628650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</xdr:row>
      <xdr:rowOff>171450</xdr:rowOff>
    </xdr:from>
    <xdr:to>
      <xdr:col>11</xdr:col>
      <xdr:colOff>12700</xdr:colOff>
      <xdr:row>3</xdr:row>
      <xdr:rowOff>12700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10130A1C-7901-4BA8-9ECE-1042EAA5EB03}"/>
            </a:ext>
          </a:extLst>
        </xdr:cNvPr>
        <xdr:cNvCxnSpPr/>
      </xdr:nvCxnSpPr>
      <xdr:spPr>
        <a:xfrm flipV="1">
          <a:off x="3352800" y="527050"/>
          <a:ext cx="1231900" cy="190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14</xdr:row>
      <xdr:rowOff>107950</xdr:rowOff>
    </xdr:from>
    <xdr:to>
      <xdr:col>7</xdr:col>
      <xdr:colOff>6350</xdr:colOff>
      <xdr:row>19</xdr:row>
      <xdr:rowOff>152400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5F0CDFBE-ED2C-4C03-A962-88B81F3E6FD5}"/>
            </a:ext>
          </a:extLst>
        </xdr:cNvPr>
        <xdr:cNvCxnSpPr/>
      </xdr:nvCxnSpPr>
      <xdr:spPr>
        <a:xfrm flipV="1">
          <a:off x="2819400" y="2603500"/>
          <a:ext cx="12700" cy="93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501650</xdr:colOff>
      <xdr:row>16</xdr:row>
      <xdr:rowOff>6350</xdr:rowOff>
    </xdr:from>
    <xdr:to>
      <xdr:col>8</xdr:col>
      <xdr:colOff>501650</xdr:colOff>
      <xdr:row>21</xdr:row>
      <xdr:rowOff>25400</xdr:rowOff>
    </xdr:to>
    <xdr:cxnSp macro="">
      <xdr:nvCxnSpPr>
        <xdr:cNvPr id="39" name="Łącznik prosty ze strzałką 38">
          <a:extLst>
            <a:ext uri="{FF2B5EF4-FFF2-40B4-BE49-F238E27FC236}">
              <a16:creationId xmlns:a16="http://schemas.microsoft.com/office/drawing/2014/main" id="{94D4392B-1078-4AA4-AB8B-03E595FEF571}"/>
            </a:ext>
          </a:extLst>
        </xdr:cNvPr>
        <xdr:cNvCxnSpPr/>
      </xdr:nvCxnSpPr>
      <xdr:spPr>
        <a:xfrm flipV="1">
          <a:off x="3835400" y="2863850"/>
          <a:ext cx="0" cy="908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21</xdr:row>
      <xdr:rowOff>69850</xdr:rowOff>
    </xdr:from>
    <xdr:to>
      <xdr:col>9</xdr:col>
      <xdr:colOff>44450</xdr:colOff>
      <xdr:row>21</xdr:row>
      <xdr:rowOff>82550</xdr:rowOff>
    </xdr:to>
    <xdr:cxnSp macro="">
      <xdr:nvCxnSpPr>
        <xdr:cNvPr id="40" name="Łącznik prosty ze strzałką 39">
          <a:extLst>
            <a:ext uri="{FF2B5EF4-FFF2-40B4-BE49-F238E27FC236}">
              <a16:creationId xmlns:a16="http://schemas.microsoft.com/office/drawing/2014/main" id="{B7BA05BC-9AA9-4236-A2F4-E3BCB67D72EA}"/>
            </a:ext>
          </a:extLst>
        </xdr:cNvPr>
        <xdr:cNvCxnSpPr/>
      </xdr:nvCxnSpPr>
      <xdr:spPr>
        <a:xfrm>
          <a:off x="2159000" y="3816350"/>
          <a:ext cx="17272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349250</xdr:colOff>
      <xdr:row>19</xdr:row>
      <xdr:rowOff>171450</xdr:rowOff>
    </xdr:from>
    <xdr:to>
      <xdr:col>7</xdr:col>
      <xdr:colOff>25400</xdr:colOff>
      <xdr:row>20</xdr:row>
      <xdr:rowOff>0</xdr:rowOff>
    </xdr:to>
    <xdr:cxnSp macro="">
      <xdr:nvCxnSpPr>
        <xdr:cNvPr id="41" name="Łącznik prosty ze strzałką 40">
          <a:extLst>
            <a:ext uri="{FF2B5EF4-FFF2-40B4-BE49-F238E27FC236}">
              <a16:creationId xmlns:a16="http://schemas.microsoft.com/office/drawing/2014/main" id="{54DFC62C-EA7A-4714-B6D7-3F51CE1F039C}"/>
            </a:ext>
          </a:extLst>
        </xdr:cNvPr>
        <xdr:cNvCxnSpPr/>
      </xdr:nvCxnSpPr>
      <xdr:spPr>
        <a:xfrm flipV="1">
          <a:off x="2203450" y="3562350"/>
          <a:ext cx="6477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469900</xdr:colOff>
      <xdr:row>17</xdr:row>
      <xdr:rowOff>171450</xdr:rowOff>
    </xdr:from>
    <xdr:to>
      <xdr:col>9</xdr:col>
      <xdr:colOff>387350</xdr:colOff>
      <xdr:row>22</xdr:row>
      <xdr:rowOff>0</xdr:rowOff>
    </xdr:to>
    <xdr:cxnSp macro="">
      <xdr:nvCxnSpPr>
        <xdr:cNvPr id="42" name="Łącznik prosty ze strzałką 41">
          <a:extLst>
            <a:ext uri="{FF2B5EF4-FFF2-40B4-BE49-F238E27FC236}">
              <a16:creationId xmlns:a16="http://schemas.microsoft.com/office/drawing/2014/main" id="{F0C20684-7027-4472-B91D-2661BBC88C93}"/>
            </a:ext>
          </a:extLst>
        </xdr:cNvPr>
        <xdr:cNvCxnSpPr/>
      </xdr:nvCxnSpPr>
      <xdr:spPr>
        <a:xfrm flipV="1">
          <a:off x="3295650" y="3206750"/>
          <a:ext cx="838200" cy="71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387350</xdr:colOff>
      <xdr:row>17</xdr:row>
      <xdr:rowOff>44450</xdr:rowOff>
    </xdr:from>
    <xdr:to>
      <xdr:col>8</xdr:col>
      <xdr:colOff>355600</xdr:colOff>
      <xdr:row>17</xdr:row>
      <xdr:rowOff>57150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6E6BD6C4-59DE-4BBE-86FB-47AFAEFFAC62}"/>
            </a:ext>
          </a:extLst>
        </xdr:cNvPr>
        <xdr:cNvCxnSpPr/>
      </xdr:nvCxnSpPr>
      <xdr:spPr>
        <a:xfrm flipH="1" flipV="1">
          <a:off x="3213100" y="3079750"/>
          <a:ext cx="47625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14</xdr:row>
      <xdr:rowOff>146050</xdr:rowOff>
    </xdr:from>
    <xdr:to>
      <xdr:col>7</xdr:col>
      <xdr:colOff>425450</xdr:colOff>
      <xdr:row>17</xdr:row>
      <xdr:rowOff>0</xdr:rowOff>
    </xdr:to>
    <xdr:cxnSp macro="">
      <xdr:nvCxnSpPr>
        <xdr:cNvPr id="44" name="Łącznik prosty ze strzałką 43">
          <a:extLst>
            <a:ext uri="{FF2B5EF4-FFF2-40B4-BE49-F238E27FC236}">
              <a16:creationId xmlns:a16="http://schemas.microsoft.com/office/drawing/2014/main" id="{73DF42A2-20FD-4571-B38C-209B1C5B2D43}"/>
            </a:ext>
          </a:extLst>
        </xdr:cNvPr>
        <xdr:cNvCxnSpPr/>
      </xdr:nvCxnSpPr>
      <xdr:spPr>
        <a:xfrm flipH="1" flipV="1">
          <a:off x="3244850" y="2641600"/>
          <a:ext cx="635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19</xdr:row>
      <xdr:rowOff>158750</xdr:rowOff>
    </xdr:from>
    <xdr:to>
      <xdr:col>4</xdr:col>
      <xdr:colOff>330200</xdr:colOff>
      <xdr:row>22</xdr:row>
      <xdr:rowOff>6350</xdr:rowOff>
    </xdr:to>
    <xdr:cxnSp macro="">
      <xdr:nvCxnSpPr>
        <xdr:cNvPr id="47" name="Łącznik prosty ze strzałką 46">
          <a:extLst>
            <a:ext uri="{FF2B5EF4-FFF2-40B4-BE49-F238E27FC236}">
              <a16:creationId xmlns:a16="http://schemas.microsoft.com/office/drawing/2014/main" id="{0A1A788F-DFC3-4D59-A5C5-19C72223AF75}"/>
            </a:ext>
          </a:extLst>
        </xdr:cNvPr>
        <xdr:cNvCxnSpPr/>
      </xdr:nvCxnSpPr>
      <xdr:spPr>
        <a:xfrm flipV="1">
          <a:off x="2178050" y="3549650"/>
          <a:ext cx="6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18</xdr:row>
      <xdr:rowOff>25400</xdr:rowOff>
    </xdr:from>
    <xdr:to>
      <xdr:col>11</xdr:col>
      <xdr:colOff>552450</xdr:colOff>
      <xdr:row>22</xdr:row>
      <xdr:rowOff>101600</xdr:rowOff>
    </xdr:to>
    <xdr:cxnSp macro="">
      <xdr:nvCxnSpPr>
        <xdr:cNvPr id="55" name="Łącznik prosty ze strzałką 54">
          <a:extLst>
            <a:ext uri="{FF2B5EF4-FFF2-40B4-BE49-F238E27FC236}">
              <a16:creationId xmlns:a16="http://schemas.microsoft.com/office/drawing/2014/main" id="{925D3F10-EBF1-4683-87AE-55683A4E523E}"/>
            </a:ext>
          </a:extLst>
        </xdr:cNvPr>
        <xdr:cNvCxnSpPr/>
      </xdr:nvCxnSpPr>
      <xdr:spPr>
        <a:xfrm flipV="1">
          <a:off x="3340100" y="3238500"/>
          <a:ext cx="1784350" cy="78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14</xdr:row>
      <xdr:rowOff>177800</xdr:rowOff>
    </xdr:from>
    <xdr:to>
      <xdr:col>11</xdr:col>
      <xdr:colOff>508000</xdr:colOff>
      <xdr:row>17</xdr:row>
      <xdr:rowOff>6350</xdr:rowOff>
    </xdr:to>
    <xdr:cxnSp macro="">
      <xdr:nvCxnSpPr>
        <xdr:cNvPr id="61" name="Łącznik prosty ze strzałką 60">
          <a:extLst>
            <a:ext uri="{FF2B5EF4-FFF2-40B4-BE49-F238E27FC236}">
              <a16:creationId xmlns:a16="http://schemas.microsoft.com/office/drawing/2014/main" id="{AE907013-640E-491F-B12F-87799C12371F}"/>
            </a:ext>
          </a:extLst>
        </xdr:cNvPr>
        <xdr:cNvCxnSpPr/>
      </xdr:nvCxnSpPr>
      <xdr:spPr>
        <a:xfrm flipH="1" flipV="1">
          <a:off x="4591050" y="2673350"/>
          <a:ext cx="48895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</xdr:row>
      <xdr:rowOff>114300</xdr:rowOff>
    </xdr:from>
    <xdr:to>
      <xdr:col>10</xdr:col>
      <xdr:colOff>406400</xdr:colOff>
      <xdr:row>2</xdr:row>
      <xdr:rowOff>82550</xdr:rowOff>
    </xdr:to>
    <xdr:cxnSp macro="">
      <xdr:nvCxnSpPr>
        <xdr:cNvPr id="65" name="Łącznik prosty ze strzałką 64">
          <a:extLst>
            <a:ext uri="{FF2B5EF4-FFF2-40B4-BE49-F238E27FC236}">
              <a16:creationId xmlns:a16="http://schemas.microsoft.com/office/drawing/2014/main" id="{470493E7-B519-4FED-BC83-3A575B965661}"/>
            </a:ext>
          </a:extLst>
        </xdr:cNvPr>
        <xdr:cNvCxnSpPr/>
      </xdr:nvCxnSpPr>
      <xdr:spPr>
        <a:xfrm flipV="1">
          <a:off x="2178050" y="292100"/>
          <a:ext cx="2387600" cy="1460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6</xdr:row>
      <xdr:rowOff>127000</xdr:rowOff>
    </xdr:from>
    <xdr:to>
      <xdr:col>19</xdr:col>
      <xdr:colOff>603250</xdr:colOff>
      <xdr:row>11</xdr:row>
      <xdr:rowOff>6350</xdr:rowOff>
    </xdr:to>
    <xdr:cxnSp macro="">
      <xdr:nvCxnSpPr>
        <xdr:cNvPr id="71" name="Łącznik prosty ze strzałką 70">
          <a:extLst>
            <a:ext uri="{FF2B5EF4-FFF2-40B4-BE49-F238E27FC236}">
              <a16:creationId xmlns:a16="http://schemas.microsoft.com/office/drawing/2014/main" id="{F6BC9A01-9B1F-9F00-06E4-7E4C40BBABBE}"/>
            </a:ext>
          </a:extLst>
        </xdr:cNvPr>
        <xdr:cNvCxnSpPr/>
      </xdr:nvCxnSpPr>
      <xdr:spPr>
        <a:xfrm>
          <a:off x="3752850" y="1219200"/>
          <a:ext cx="6254750" cy="768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18</xdr:row>
      <xdr:rowOff>177800</xdr:rowOff>
    </xdr:from>
    <xdr:to>
      <xdr:col>3</xdr:col>
      <xdr:colOff>190500</xdr:colOff>
      <xdr:row>21</xdr:row>
      <xdr:rowOff>139700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54F7A120-6DF0-4C51-AE56-0E09A21A2038}"/>
            </a:ext>
          </a:extLst>
        </xdr:cNvPr>
        <xdr:cNvCxnSpPr/>
      </xdr:nvCxnSpPr>
      <xdr:spPr>
        <a:xfrm flipV="1">
          <a:off x="774700" y="32321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19</xdr:row>
      <xdr:rowOff>31750</xdr:rowOff>
    </xdr:from>
    <xdr:to>
      <xdr:col>5</xdr:col>
      <xdr:colOff>120650</xdr:colOff>
      <xdr:row>21</xdr:row>
      <xdr:rowOff>152400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6BEFA37A-EE45-4ABD-926A-403E4E25F26B}"/>
            </a:ext>
          </a:extLst>
        </xdr:cNvPr>
        <xdr:cNvCxnSpPr/>
      </xdr:nvCxnSpPr>
      <xdr:spPr>
        <a:xfrm flipH="1" flipV="1">
          <a:off x="793750" y="327660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196850</xdr:colOff>
      <xdr:row>19</xdr:row>
      <xdr:rowOff>12700</xdr:rowOff>
    </xdr:from>
    <xdr:to>
      <xdr:col>6</xdr:col>
      <xdr:colOff>139700</xdr:colOff>
      <xdr:row>21</xdr:row>
      <xdr:rowOff>171450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EB9BD205-DAE1-453E-98F9-9361587709B6}"/>
            </a:ext>
          </a:extLst>
        </xdr:cNvPr>
        <xdr:cNvCxnSpPr/>
      </xdr:nvCxnSpPr>
      <xdr:spPr>
        <a:xfrm flipH="1" flipV="1">
          <a:off x="806450" y="325755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19</xdr:row>
      <xdr:rowOff>6350</xdr:rowOff>
    </xdr:from>
    <xdr:to>
      <xdr:col>6</xdr:col>
      <xdr:colOff>152400</xdr:colOff>
      <xdr:row>22</xdr:row>
      <xdr:rowOff>12700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253171AA-62FF-458B-BCE3-21224875E3FD}"/>
            </a:ext>
          </a:extLst>
        </xdr:cNvPr>
        <xdr:cNvCxnSpPr/>
      </xdr:nvCxnSpPr>
      <xdr:spPr>
        <a:xfrm flipV="1">
          <a:off x="2590800" y="32512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19</xdr:row>
      <xdr:rowOff>57150</xdr:rowOff>
    </xdr:from>
    <xdr:to>
      <xdr:col>4</xdr:col>
      <xdr:colOff>196850</xdr:colOff>
      <xdr:row>21</xdr:row>
      <xdr:rowOff>139700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512E77A2-0E2C-4929-A4DD-F7D9D4BFEF64}"/>
            </a:ext>
          </a:extLst>
        </xdr:cNvPr>
        <xdr:cNvCxnSpPr/>
      </xdr:nvCxnSpPr>
      <xdr:spPr>
        <a:xfrm flipH="1" flipV="1">
          <a:off x="863600" y="3302000"/>
          <a:ext cx="5524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19</xdr:row>
      <xdr:rowOff>44450</xdr:rowOff>
    </xdr:from>
    <xdr:to>
      <xdr:col>6</xdr:col>
      <xdr:colOff>76200</xdr:colOff>
      <xdr:row>21</xdr:row>
      <xdr:rowOff>139700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BBA1BDB7-8EE6-4695-811B-9538BB61F1B8}"/>
            </a:ext>
          </a:extLst>
        </xdr:cNvPr>
        <xdr:cNvCxnSpPr/>
      </xdr:nvCxnSpPr>
      <xdr:spPr>
        <a:xfrm flipV="1">
          <a:off x="1460500" y="3289300"/>
          <a:ext cx="1054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19</xdr:row>
      <xdr:rowOff>12700</xdr:rowOff>
    </xdr:from>
    <xdr:to>
      <xdr:col>6</xdr:col>
      <xdr:colOff>133350</xdr:colOff>
      <xdr:row>21</xdr:row>
      <xdr:rowOff>146050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D8E9A4B3-EB0B-48A4-BD2C-FB676DC97E1F}"/>
            </a:ext>
          </a:extLst>
        </xdr:cNvPr>
        <xdr:cNvCxnSpPr/>
      </xdr:nvCxnSpPr>
      <xdr:spPr>
        <a:xfrm flipV="1">
          <a:off x="2032000" y="325755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19</xdr:row>
      <xdr:rowOff>19050</xdr:rowOff>
    </xdr:from>
    <xdr:to>
      <xdr:col>6</xdr:col>
      <xdr:colOff>273050</xdr:colOff>
      <xdr:row>21</xdr:row>
      <xdr:rowOff>158750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9E96A7AE-FACD-4473-BC87-D17949A115A8}"/>
            </a:ext>
          </a:extLst>
        </xdr:cNvPr>
        <xdr:cNvCxnSpPr/>
      </xdr:nvCxnSpPr>
      <xdr:spPr>
        <a:xfrm flipV="1">
          <a:off x="781050" y="326390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16</xdr:row>
      <xdr:rowOff>152400</xdr:rowOff>
    </xdr:from>
    <xdr:to>
      <xdr:col>3</xdr:col>
      <xdr:colOff>190500</xdr:colOff>
      <xdr:row>18</xdr:row>
      <xdr:rowOff>6350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C7478262-02E1-4F87-8187-203040C8EE42}"/>
            </a:ext>
          </a:extLst>
        </xdr:cNvPr>
        <xdr:cNvCxnSpPr/>
      </xdr:nvCxnSpPr>
      <xdr:spPr>
        <a:xfrm flipH="1" flipV="1">
          <a:off x="793750" y="28384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17</xdr:row>
      <xdr:rowOff>19050</xdr:rowOff>
    </xdr:from>
    <xdr:to>
      <xdr:col>6</xdr:col>
      <xdr:colOff>228600</xdr:colOff>
      <xdr:row>18</xdr:row>
      <xdr:rowOff>12700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A150C2EA-3CF1-4B76-862C-F76093313B29}"/>
            </a:ext>
          </a:extLst>
        </xdr:cNvPr>
        <xdr:cNvCxnSpPr/>
      </xdr:nvCxnSpPr>
      <xdr:spPr>
        <a:xfrm flipV="1">
          <a:off x="2654300" y="28892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177800</xdr:rowOff>
    </xdr:from>
    <xdr:to>
      <xdr:col>19</xdr:col>
      <xdr:colOff>190500</xdr:colOff>
      <xdr:row>21</xdr:row>
      <xdr:rowOff>139700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480B8FA6-0A06-4976-B4E7-4A5EDFC660E2}"/>
            </a:ext>
          </a:extLst>
        </xdr:cNvPr>
        <xdr:cNvCxnSpPr/>
      </xdr:nvCxnSpPr>
      <xdr:spPr>
        <a:xfrm flipV="1">
          <a:off x="8089900" y="32321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19</xdr:row>
      <xdr:rowOff>31750</xdr:rowOff>
    </xdr:from>
    <xdr:to>
      <xdr:col>21</xdr:col>
      <xdr:colOff>120650</xdr:colOff>
      <xdr:row>21</xdr:row>
      <xdr:rowOff>152400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587D8A9E-EB52-40B6-BABF-BEEC89D4DB99}"/>
            </a:ext>
          </a:extLst>
        </xdr:cNvPr>
        <xdr:cNvCxnSpPr/>
      </xdr:nvCxnSpPr>
      <xdr:spPr>
        <a:xfrm flipH="1" flipV="1">
          <a:off x="8108950" y="327660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196850</xdr:colOff>
      <xdr:row>19</xdr:row>
      <xdr:rowOff>12700</xdr:rowOff>
    </xdr:from>
    <xdr:to>
      <xdr:col>22</xdr:col>
      <xdr:colOff>139700</xdr:colOff>
      <xdr:row>21</xdr:row>
      <xdr:rowOff>171450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D6637331-2BB8-4C83-8273-7A684CA7211A}"/>
            </a:ext>
          </a:extLst>
        </xdr:cNvPr>
        <xdr:cNvCxnSpPr/>
      </xdr:nvCxnSpPr>
      <xdr:spPr>
        <a:xfrm flipH="1" flipV="1">
          <a:off x="8121650" y="325755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19</xdr:row>
      <xdr:rowOff>6350</xdr:rowOff>
    </xdr:from>
    <xdr:to>
      <xdr:col>22</xdr:col>
      <xdr:colOff>152400</xdr:colOff>
      <xdr:row>22</xdr:row>
      <xdr:rowOff>12700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5D6024BF-0F80-4FB0-B6F8-D32B71804EF7}"/>
            </a:ext>
          </a:extLst>
        </xdr:cNvPr>
        <xdr:cNvCxnSpPr/>
      </xdr:nvCxnSpPr>
      <xdr:spPr>
        <a:xfrm flipV="1">
          <a:off x="9906000" y="32512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19</xdr:row>
      <xdr:rowOff>6350</xdr:rowOff>
    </xdr:from>
    <xdr:to>
      <xdr:col>23</xdr:col>
      <xdr:colOff>127000</xdr:colOff>
      <xdr:row>21</xdr:row>
      <xdr:rowOff>133350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7AB549C0-E0E8-4B24-8856-BD76805138CF}"/>
            </a:ext>
          </a:extLst>
        </xdr:cNvPr>
        <xdr:cNvCxnSpPr/>
      </xdr:nvCxnSpPr>
      <xdr:spPr>
        <a:xfrm flipH="1" flipV="1">
          <a:off x="9906000" y="3251200"/>
          <a:ext cx="584200" cy="488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184150</xdr:rowOff>
    </xdr:from>
    <xdr:to>
      <xdr:col>23</xdr:col>
      <xdr:colOff>107950</xdr:colOff>
      <xdr:row>21</xdr:row>
      <xdr:rowOff>158750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2BB7004C-A686-45B8-BCD3-5A6EFF9D34C2}"/>
            </a:ext>
          </a:extLst>
        </xdr:cNvPr>
        <xdr:cNvCxnSpPr/>
      </xdr:nvCxnSpPr>
      <xdr:spPr>
        <a:xfrm flipH="1" flipV="1">
          <a:off x="8089900" y="3238500"/>
          <a:ext cx="238125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203200</xdr:colOff>
      <xdr:row>19</xdr:row>
      <xdr:rowOff>12700</xdr:rowOff>
    </xdr:from>
    <xdr:to>
      <xdr:col>22</xdr:col>
      <xdr:colOff>133350</xdr:colOff>
      <xdr:row>21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A6F4AB15-C8B4-42E9-B516-DDBFFF393FD9}"/>
            </a:ext>
          </a:extLst>
        </xdr:cNvPr>
        <xdr:cNvCxnSpPr/>
      </xdr:nvCxnSpPr>
      <xdr:spPr>
        <a:xfrm flipV="1">
          <a:off x="9347200" y="325755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171450</xdr:colOff>
      <xdr:row>19</xdr:row>
      <xdr:rowOff>19050</xdr:rowOff>
    </xdr:from>
    <xdr:to>
      <xdr:col>22</xdr:col>
      <xdr:colOff>273050</xdr:colOff>
      <xdr:row>21</xdr:row>
      <xdr:rowOff>158750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D1876856-2C0A-4EED-91F9-FB322C64A4DA}"/>
            </a:ext>
          </a:extLst>
        </xdr:cNvPr>
        <xdr:cNvCxnSpPr/>
      </xdr:nvCxnSpPr>
      <xdr:spPr>
        <a:xfrm flipV="1">
          <a:off x="8096250" y="326390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16</xdr:row>
      <xdr:rowOff>152400</xdr:rowOff>
    </xdr:from>
    <xdr:to>
      <xdr:col>19</xdr:col>
      <xdr:colOff>190500</xdr:colOff>
      <xdr:row>18</xdr:row>
      <xdr:rowOff>6350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C5AD320F-B763-4BEC-BE73-12E2812D02E4}"/>
            </a:ext>
          </a:extLst>
        </xdr:cNvPr>
        <xdr:cNvCxnSpPr/>
      </xdr:nvCxnSpPr>
      <xdr:spPr>
        <a:xfrm flipH="1" flipV="1">
          <a:off x="8108950" y="28384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215900</xdr:colOff>
      <xdr:row>17</xdr:row>
      <xdr:rowOff>19050</xdr:rowOff>
    </xdr:from>
    <xdr:to>
      <xdr:col>22</xdr:col>
      <xdr:colOff>228600</xdr:colOff>
      <xdr:row>18</xdr:row>
      <xdr:rowOff>12700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A66561D0-BE84-4850-9DD8-811A37121FEF}"/>
            </a:ext>
          </a:extLst>
        </xdr:cNvPr>
        <xdr:cNvCxnSpPr/>
      </xdr:nvCxnSpPr>
      <xdr:spPr>
        <a:xfrm flipV="1">
          <a:off x="9969500" y="28892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165100</xdr:colOff>
      <xdr:row>18</xdr:row>
      <xdr:rowOff>177800</xdr:rowOff>
    </xdr:from>
    <xdr:to>
      <xdr:col>11</xdr:col>
      <xdr:colOff>190500</xdr:colOff>
      <xdr:row>21</xdr:row>
      <xdr:rowOff>139700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BE7EA1CC-CC00-4047-9E63-92FCCCFA920A}"/>
            </a:ext>
          </a:extLst>
        </xdr:cNvPr>
        <xdr:cNvCxnSpPr/>
      </xdr:nvCxnSpPr>
      <xdr:spPr>
        <a:xfrm flipV="1">
          <a:off x="4432300" y="323215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184150</xdr:colOff>
      <xdr:row>19</xdr:row>
      <xdr:rowOff>31750</xdr:rowOff>
    </xdr:from>
    <xdr:to>
      <xdr:col>13</xdr:col>
      <xdr:colOff>120650</xdr:colOff>
      <xdr:row>21</xdr:row>
      <xdr:rowOff>152400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62E2A133-DD27-48BE-AE7E-FFC8FD36B619}"/>
            </a:ext>
          </a:extLst>
        </xdr:cNvPr>
        <xdr:cNvCxnSpPr/>
      </xdr:nvCxnSpPr>
      <xdr:spPr>
        <a:xfrm flipH="1" flipV="1">
          <a:off x="4451350" y="327660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196850</xdr:colOff>
      <xdr:row>19</xdr:row>
      <xdr:rowOff>12700</xdr:rowOff>
    </xdr:from>
    <xdr:to>
      <xdr:col>14</xdr:col>
      <xdr:colOff>139700</xdr:colOff>
      <xdr:row>21</xdr:row>
      <xdr:rowOff>171450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94C22493-C575-4B14-BCB9-0C9655B73E57}"/>
            </a:ext>
          </a:extLst>
        </xdr:cNvPr>
        <xdr:cNvCxnSpPr/>
      </xdr:nvCxnSpPr>
      <xdr:spPr>
        <a:xfrm flipH="1" flipV="1">
          <a:off x="4464050" y="325755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19</xdr:row>
      <xdr:rowOff>6350</xdr:rowOff>
    </xdr:from>
    <xdr:to>
      <xdr:col>14</xdr:col>
      <xdr:colOff>152400</xdr:colOff>
      <xdr:row>22</xdr:row>
      <xdr:rowOff>12700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3EBDA08F-53B0-4966-9451-C7D0E757F5DA}"/>
            </a:ext>
          </a:extLst>
        </xdr:cNvPr>
        <xdr:cNvCxnSpPr/>
      </xdr:nvCxnSpPr>
      <xdr:spPr>
        <a:xfrm flipV="1">
          <a:off x="6248400" y="325120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254000</xdr:colOff>
      <xdr:row>19</xdr:row>
      <xdr:rowOff>57150</xdr:rowOff>
    </xdr:from>
    <xdr:to>
      <xdr:col>12</xdr:col>
      <xdr:colOff>196850</xdr:colOff>
      <xdr:row>21</xdr:row>
      <xdr:rowOff>139700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549DE619-623E-41F4-A074-4253B9C2944C}"/>
            </a:ext>
          </a:extLst>
        </xdr:cNvPr>
        <xdr:cNvCxnSpPr/>
      </xdr:nvCxnSpPr>
      <xdr:spPr>
        <a:xfrm flipH="1" flipV="1">
          <a:off x="4521200" y="3302000"/>
          <a:ext cx="5524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241300</xdr:colOff>
      <xdr:row>19</xdr:row>
      <xdr:rowOff>44450</xdr:rowOff>
    </xdr:from>
    <xdr:to>
      <xdr:col>14</xdr:col>
      <xdr:colOff>76200</xdr:colOff>
      <xdr:row>21</xdr:row>
      <xdr:rowOff>139700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4DAB13CB-B6BF-44EB-B272-6DEADC340876}"/>
            </a:ext>
          </a:extLst>
        </xdr:cNvPr>
        <xdr:cNvCxnSpPr/>
      </xdr:nvCxnSpPr>
      <xdr:spPr>
        <a:xfrm flipV="1">
          <a:off x="5118100" y="3289300"/>
          <a:ext cx="1054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19</xdr:row>
      <xdr:rowOff>12700</xdr:rowOff>
    </xdr:from>
    <xdr:to>
      <xdr:col>14</xdr:col>
      <xdr:colOff>133350</xdr:colOff>
      <xdr:row>21</xdr:row>
      <xdr:rowOff>146050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1A5BD799-475D-40D7-B797-27F9E45589A5}"/>
            </a:ext>
          </a:extLst>
        </xdr:cNvPr>
        <xdr:cNvCxnSpPr/>
      </xdr:nvCxnSpPr>
      <xdr:spPr>
        <a:xfrm flipV="1">
          <a:off x="5689600" y="325755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19</xdr:row>
      <xdr:rowOff>19050</xdr:rowOff>
    </xdr:from>
    <xdr:to>
      <xdr:col>14</xdr:col>
      <xdr:colOff>273050</xdr:colOff>
      <xdr:row>21</xdr:row>
      <xdr:rowOff>158750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1550643C-6E14-4661-99D0-2DE8E9228911}"/>
            </a:ext>
          </a:extLst>
        </xdr:cNvPr>
        <xdr:cNvCxnSpPr/>
      </xdr:nvCxnSpPr>
      <xdr:spPr>
        <a:xfrm flipV="1">
          <a:off x="4438650" y="326390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184150</xdr:colOff>
      <xdr:row>16</xdr:row>
      <xdr:rowOff>152400</xdr:rowOff>
    </xdr:from>
    <xdr:to>
      <xdr:col>11</xdr:col>
      <xdr:colOff>190500</xdr:colOff>
      <xdr:row>18</xdr:row>
      <xdr:rowOff>6350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CCAD177D-A115-4D09-8222-882ED803B73A}"/>
            </a:ext>
          </a:extLst>
        </xdr:cNvPr>
        <xdr:cNvCxnSpPr/>
      </xdr:nvCxnSpPr>
      <xdr:spPr>
        <a:xfrm flipH="1" flipV="1">
          <a:off x="4451350" y="283845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215900</xdr:colOff>
      <xdr:row>17</xdr:row>
      <xdr:rowOff>19050</xdr:rowOff>
    </xdr:from>
    <xdr:to>
      <xdr:col>14</xdr:col>
      <xdr:colOff>228600</xdr:colOff>
      <xdr:row>18</xdr:row>
      <xdr:rowOff>12700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63CEEE71-2A24-41E6-B145-FCE1481A3E7A}"/>
            </a:ext>
          </a:extLst>
        </xdr:cNvPr>
        <xdr:cNvCxnSpPr/>
      </xdr:nvCxnSpPr>
      <xdr:spPr>
        <a:xfrm flipV="1">
          <a:off x="6311900" y="288925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590550</xdr:colOff>
      <xdr:row>15</xdr:row>
      <xdr:rowOff>171450</xdr:rowOff>
    </xdr:from>
    <xdr:to>
      <xdr:col>32</xdr:col>
      <xdr:colOff>25400</xdr:colOff>
      <xdr:row>16</xdr:row>
      <xdr:rowOff>101600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31BCAADA-4940-7BD9-3AE2-4CDD0884036B}"/>
            </a:ext>
          </a:extLst>
        </xdr:cNvPr>
        <xdr:cNvCxnSpPr/>
      </xdr:nvCxnSpPr>
      <xdr:spPr>
        <a:xfrm flipH="1">
          <a:off x="17449800" y="2876550"/>
          <a:ext cx="1187450" cy="12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509323</xdr:colOff>
      <xdr:row>16</xdr:row>
      <xdr:rowOff>19843</xdr:rowOff>
    </xdr:from>
    <xdr:to>
      <xdr:col>36</xdr:col>
      <xdr:colOff>449792</xdr:colOff>
      <xdr:row>19</xdr:row>
      <xdr:rowOff>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6046CDC0-B7B9-176C-3376-2FC2E8B2EE42}"/>
            </a:ext>
          </a:extLst>
        </xdr:cNvPr>
        <xdr:cNvCxnSpPr/>
      </xdr:nvCxnSpPr>
      <xdr:spPr>
        <a:xfrm flipH="1">
          <a:off x="20928542" y="2930260"/>
          <a:ext cx="549010" cy="5423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18</xdr:row>
      <xdr:rowOff>177800</xdr:rowOff>
    </xdr:from>
    <xdr:to>
      <xdr:col>3</xdr:col>
      <xdr:colOff>190500</xdr:colOff>
      <xdr:row>21</xdr:row>
      <xdr:rowOff>139700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2B8F1FA8-24D2-4EC4-9E25-AE7E1BC3DE07}"/>
            </a:ext>
          </a:extLst>
        </xdr:cNvPr>
        <xdr:cNvCxnSpPr/>
      </xdr:nvCxnSpPr>
      <xdr:spPr>
        <a:xfrm flipV="1">
          <a:off x="1993900" y="344170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19</xdr:row>
      <xdr:rowOff>31750</xdr:rowOff>
    </xdr:from>
    <xdr:to>
      <xdr:col>5</xdr:col>
      <xdr:colOff>120650</xdr:colOff>
      <xdr:row>21</xdr:row>
      <xdr:rowOff>152400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07F0D664-532D-4BDF-945D-D399BE3E2B61}"/>
            </a:ext>
          </a:extLst>
        </xdr:cNvPr>
        <xdr:cNvCxnSpPr/>
      </xdr:nvCxnSpPr>
      <xdr:spPr>
        <a:xfrm flipH="1" flipV="1">
          <a:off x="2012950" y="348615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196850</xdr:colOff>
      <xdr:row>19</xdr:row>
      <xdr:rowOff>12700</xdr:rowOff>
    </xdr:from>
    <xdr:to>
      <xdr:col>6</xdr:col>
      <xdr:colOff>139700</xdr:colOff>
      <xdr:row>21</xdr:row>
      <xdr:rowOff>171450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E829F238-19B6-4E19-8617-2169C0FD5EAB}"/>
            </a:ext>
          </a:extLst>
        </xdr:cNvPr>
        <xdr:cNvCxnSpPr/>
      </xdr:nvCxnSpPr>
      <xdr:spPr>
        <a:xfrm flipH="1" flipV="1">
          <a:off x="2025650" y="346710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19</xdr:row>
      <xdr:rowOff>6350</xdr:rowOff>
    </xdr:from>
    <xdr:to>
      <xdr:col>6</xdr:col>
      <xdr:colOff>152400</xdr:colOff>
      <xdr:row>22</xdr:row>
      <xdr:rowOff>12700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1FCD28D2-752D-4AEB-9760-D213FC4C9331}"/>
            </a:ext>
          </a:extLst>
        </xdr:cNvPr>
        <xdr:cNvCxnSpPr/>
      </xdr:nvCxnSpPr>
      <xdr:spPr>
        <a:xfrm flipV="1">
          <a:off x="3810000" y="346075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19</xdr:row>
      <xdr:rowOff>57150</xdr:rowOff>
    </xdr:from>
    <xdr:to>
      <xdr:col>4</xdr:col>
      <xdr:colOff>196850</xdr:colOff>
      <xdr:row>21</xdr:row>
      <xdr:rowOff>139700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9C1C7652-C3E1-4842-9DE8-09054BAC6E9C}"/>
            </a:ext>
          </a:extLst>
        </xdr:cNvPr>
        <xdr:cNvCxnSpPr/>
      </xdr:nvCxnSpPr>
      <xdr:spPr>
        <a:xfrm flipH="1" flipV="1">
          <a:off x="2082800" y="3511550"/>
          <a:ext cx="5524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19</xdr:row>
      <xdr:rowOff>44450</xdr:rowOff>
    </xdr:from>
    <xdr:to>
      <xdr:col>6</xdr:col>
      <xdr:colOff>76200</xdr:colOff>
      <xdr:row>21</xdr:row>
      <xdr:rowOff>139700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EB9C8B43-F002-4D48-AA06-50D0F53C9302}"/>
            </a:ext>
          </a:extLst>
        </xdr:cNvPr>
        <xdr:cNvCxnSpPr/>
      </xdr:nvCxnSpPr>
      <xdr:spPr>
        <a:xfrm flipV="1">
          <a:off x="2679700" y="3498850"/>
          <a:ext cx="1054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19</xdr:row>
      <xdr:rowOff>12700</xdr:rowOff>
    </xdr:from>
    <xdr:to>
      <xdr:col>6</xdr:col>
      <xdr:colOff>133350</xdr:colOff>
      <xdr:row>21</xdr:row>
      <xdr:rowOff>146050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CE91525D-B817-4D9D-9386-5BB87672E808}"/>
            </a:ext>
          </a:extLst>
        </xdr:cNvPr>
        <xdr:cNvCxnSpPr/>
      </xdr:nvCxnSpPr>
      <xdr:spPr>
        <a:xfrm flipV="1">
          <a:off x="3251200" y="346710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19</xdr:row>
      <xdr:rowOff>19050</xdr:rowOff>
    </xdr:from>
    <xdr:to>
      <xdr:col>6</xdr:col>
      <xdr:colOff>273050</xdr:colOff>
      <xdr:row>21</xdr:row>
      <xdr:rowOff>158750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9613A029-C231-4B01-BC66-AB50EE37B59D}"/>
            </a:ext>
          </a:extLst>
        </xdr:cNvPr>
        <xdr:cNvCxnSpPr/>
      </xdr:nvCxnSpPr>
      <xdr:spPr>
        <a:xfrm flipV="1">
          <a:off x="2000250" y="347345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16</xdr:row>
      <xdr:rowOff>152400</xdr:rowOff>
    </xdr:from>
    <xdr:to>
      <xdr:col>3</xdr:col>
      <xdr:colOff>190500</xdr:colOff>
      <xdr:row>18</xdr:row>
      <xdr:rowOff>6350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B3CCB11B-3415-4A16-AA8D-6EC1B0A462FB}"/>
            </a:ext>
          </a:extLst>
        </xdr:cNvPr>
        <xdr:cNvCxnSpPr/>
      </xdr:nvCxnSpPr>
      <xdr:spPr>
        <a:xfrm flipH="1" flipV="1">
          <a:off x="2012950" y="304800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17</xdr:row>
      <xdr:rowOff>19050</xdr:rowOff>
    </xdr:from>
    <xdr:to>
      <xdr:col>6</xdr:col>
      <xdr:colOff>228600</xdr:colOff>
      <xdr:row>18</xdr:row>
      <xdr:rowOff>12700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4C278B8F-EA26-4C28-88E9-166153F985B3}"/>
            </a:ext>
          </a:extLst>
        </xdr:cNvPr>
        <xdr:cNvCxnSpPr/>
      </xdr:nvCxnSpPr>
      <xdr:spPr>
        <a:xfrm flipV="1">
          <a:off x="3873500" y="30988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177800</xdr:rowOff>
    </xdr:from>
    <xdr:to>
      <xdr:col>19</xdr:col>
      <xdr:colOff>190500</xdr:colOff>
      <xdr:row>21</xdr:row>
      <xdr:rowOff>139700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0B398FF7-F158-4C76-A48C-D29C8B0FA505}"/>
            </a:ext>
          </a:extLst>
        </xdr:cNvPr>
        <xdr:cNvCxnSpPr/>
      </xdr:nvCxnSpPr>
      <xdr:spPr>
        <a:xfrm flipV="1">
          <a:off x="10629900" y="344170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19</xdr:row>
      <xdr:rowOff>31750</xdr:rowOff>
    </xdr:from>
    <xdr:to>
      <xdr:col>21</xdr:col>
      <xdr:colOff>120650</xdr:colOff>
      <xdr:row>21</xdr:row>
      <xdr:rowOff>152400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01EAB107-2F58-4227-92F9-9E16EBD7B98F}"/>
            </a:ext>
          </a:extLst>
        </xdr:cNvPr>
        <xdr:cNvCxnSpPr/>
      </xdr:nvCxnSpPr>
      <xdr:spPr>
        <a:xfrm flipH="1" flipV="1">
          <a:off x="10648950" y="3486150"/>
          <a:ext cx="11557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196850</xdr:colOff>
      <xdr:row>19</xdr:row>
      <xdr:rowOff>12700</xdr:rowOff>
    </xdr:from>
    <xdr:to>
      <xdr:col>22</xdr:col>
      <xdr:colOff>139700</xdr:colOff>
      <xdr:row>21</xdr:row>
      <xdr:rowOff>171450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AB0B2577-AB57-4FB0-A4F5-2C7A89BDFFF8}"/>
            </a:ext>
          </a:extLst>
        </xdr:cNvPr>
        <xdr:cNvCxnSpPr/>
      </xdr:nvCxnSpPr>
      <xdr:spPr>
        <a:xfrm flipH="1" flipV="1">
          <a:off x="10661650" y="3467100"/>
          <a:ext cx="17716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19</xdr:row>
      <xdr:rowOff>6350</xdr:rowOff>
    </xdr:from>
    <xdr:to>
      <xdr:col>22</xdr:col>
      <xdr:colOff>152400</xdr:colOff>
      <xdr:row>22</xdr:row>
      <xdr:rowOff>12700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52E6E39C-D06F-4961-BAAC-CCDC09FAD6AB}"/>
            </a:ext>
          </a:extLst>
        </xdr:cNvPr>
        <xdr:cNvCxnSpPr/>
      </xdr:nvCxnSpPr>
      <xdr:spPr>
        <a:xfrm flipV="1">
          <a:off x="12446000" y="346075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19</xdr:row>
      <xdr:rowOff>6350</xdr:rowOff>
    </xdr:from>
    <xdr:to>
      <xdr:col>23</xdr:col>
      <xdr:colOff>127000</xdr:colOff>
      <xdr:row>21</xdr:row>
      <xdr:rowOff>133350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4C9669AC-7E1A-43E8-AE9F-9161130E802B}"/>
            </a:ext>
          </a:extLst>
        </xdr:cNvPr>
        <xdr:cNvCxnSpPr/>
      </xdr:nvCxnSpPr>
      <xdr:spPr>
        <a:xfrm flipH="1" flipV="1">
          <a:off x="12446000" y="3460750"/>
          <a:ext cx="584200" cy="488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184150</xdr:rowOff>
    </xdr:from>
    <xdr:to>
      <xdr:col>23</xdr:col>
      <xdr:colOff>107950</xdr:colOff>
      <xdr:row>21</xdr:row>
      <xdr:rowOff>158750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46B1EA8C-2095-4B78-ADA0-A15EA0FF0FFF}"/>
            </a:ext>
          </a:extLst>
        </xdr:cNvPr>
        <xdr:cNvCxnSpPr/>
      </xdr:nvCxnSpPr>
      <xdr:spPr>
        <a:xfrm flipH="1" flipV="1">
          <a:off x="10629900" y="3448050"/>
          <a:ext cx="238125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203200</xdr:colOff>
      <xdr:row>19</xdr:row>
      <xdr:rowOff>12700</xdr:rowOff>
    </xdr:from>
    <xdr:to>
      <xdr:col>22</xdr:col>
      <xdr:colOff>133350</xdr:colOff>
      <xdr:row>21</xdr:row>
      <xdr:rowOff>146050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92E67821-7918-4E37-8333-EF0EE2472FBF}"/>
            </a:ext>
          </a:extLst>
        </xdr:cNvPr>
        <xdr:cNvCxnSpPr/>
      </xdr:nvCxnSpPr>
      <xdr:spPr>
        <a:xfrm flipV="1">
          <a:off x="11887200" y="346710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171450</xdr:colOff>
      <xdr:row>19</xdr:row>
      <xdr:rowOff>19050</xdr:rowOff>
    </xdr:from>
    <xdr:to>
      <xdr:col>22</xdr:col>
      <xdr:colOff>273050</xdr:colOff>
      <xdr:row>21</xdr:row>
      <xdr:rowOff>158750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7F956415-D564-4594-B8AC-35ECB4D83228}"/>
            </a:ext>
          </a:extLst>
        </xdr:cNvPr>
        <xdr:cNvCxnSpPr/>
      </xdr:nvCxnSpPr>
      <xdr:spPr>
        <a:xfrm flipV="1">
          <a:off x="10636250" y="3473450"/>
          <a:ext cx="19304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184150</xdr:colOff>
      <xdr:row>16</xdr:row>
      <xdr:rowOff>152400</xdr:rowOff>
    </xdr:from>
    <xdr:to>
      <xdr:col>19</xdr:col>
      <xdr:colOff>190500</xdr:colOff>
      <xdr:row>18</xdr:row>
      <xdr:rowOff>6350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4A14B483-0B42-4AC0-9170-B7F51F4F2321}"/>
            </a:ext>
          </a:extLst>
        </xdr:cNvPr>
        <xdr:cNvCxnSpPr/>
      </xdr:nvCxnSpPr>
      <xdr:spPr>
        <a:xfrm flipH="1" flipV="1">
          <a:off x="10648950" y="304800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215900</xdr:colOff>
      <xdr:row>17</xdr:row>
      <xdr:rowOff>19050</xdr:rowOff>
    </xdr:from>
    <xdr:to>
      <xdr:col>22</xdr:col>
      <xdr:colOff>228600</xdr:colOff>
      <xdr:row>18</xdr:row>
      <xdr:rowOff>12700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EAAE3BC9-23BD-427D-8818-C9A978D6C8FE}"/>
            </a:ext>
          </a:extLst>
        </xdr:cNvPr>
        <xdr:cNvCxnSpPr/>
      </xdr:nvCxnSpPr>
      <xdr:spPr>
        <a:xfrm flipV="1">
          <a:off x="12509500" y="30988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165100</xdr:colOff>
      <xdr:row>18</xdr:row>
      <xdr:rowOff>177800</xdr:rowOff>
    </xdr:from>
    <xdr:to>
      <xdr:col>11</xdr:col>
      <xdr:colOff>190500</xdr:colOff>
      <xdr:row>21</xdr:row>
      <xdr:rowOff>139700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BD867FC2-684C-4903-916C-985D019F0B61}"/>
            </a:ext>
          </a:extLst>
        </xdr:cNvPr>
        <xdr:cNvCxnSpPr/>
      </xdr:nvCxnSpPr>
      <xdr:spPr>
        <a:xfrm flipV="1">
          <a:off x="6007100" y="3441700"/>
          <a:ext cx="25400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184150</xdr:colOff>
      <xdr:row>19</xdr:row>
      <xdr:rowOff>31750</xdr:rowOff>
    </xdr:from>
    <xdr:to>
      <xdr:col>13</xdr:col>
      <xdr:colOff>120650</xdr:colOff>
      <xdr:row>21</xdr:row>
      <xdr:rowOff>152400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AC2687CC-6411-4977-B739-3429D418C04E}"/>
            </a:ext>
          </a:extLst>
        </xdr:cNvPr>
        <xdr:cNvCxnSpPr/>
      </xdr:nvCxnSpPr>
      <xdr:spPr>
        <a:xfrm flipH="1" flipV="1">
          <a:off x="6026150" y="3486150"/>
          <a:ext cx="114300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196850</xdr:colOff>
      <xdr:row>19</xdr:row>
      <xdr:rowOff>12700</xdr:rowOff>
    </xdr:from>
    <xdr:to>
      <xdr:col>14</xdr:col>
      <xdr:colOff>139700</xdr:colOff>
      <xdr:row>21</xdr:row>
      <xdr:rowOff>171450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67502077-E8EC-4E92-AF80-3BAD6A265831}"/>
            </a:ext>
          </a:extLst>
        </xdr:cNvPr>
        <xdr:cNvCxnSpPr/>
      </xdr:nvCxnSpPr>
      <xdr:spPr>
        <a:xfrm flipH="1" flipV="1">
          <a:off x="6038850" y="3467100"/>
          <a:ext cx="175895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19</xdr:row>
      <xdr:rowOff>6350</xdr:rowOff>
    </xdr:from>
    <xdr:to>
      <xdr:col>14</xdr:col>
      <xdr:colOff>152400</xdr:colOff>
      <xdr:row>22</xdr:row>
      <xdr:rowOff>12700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EDC4DEB8-BB1D-49B8-8754-8625756E1B38}"/>
            </a:ext>
          </a:extLst>
        </xdr:cNvPr>
        <xdr:cNvCxnSpPr/>
      </xdr:nvCxnSpPr>
      <xdr:spPr>
        <a:xfrm flipV="1">
          <a:off x="7810500" y="3460750"/>
          <a:ext cx="0" cy="546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254000</xdr:colOff>
      <xdr:row>19</xdr:row>
      <xdr:rowOff>57150</xdr:rowOff>
    </xdr:from>
    <xdr:to>
      <xdr:col>12</xdr:col>
      <xdr:colOff>196850</xdr:colOff>
      <xdr:row>21</xdr:row>
      <xdr:rowOff>139700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2061D17F-6A88-4951-BF5E-8EEEE0AA4B16}"/>
            </a:ext>
          </a:extLst>
        </xdr:cNvPr>
        <xdr:cNvCxnSpPr/>
      </xdr:nvCxnSpPr>
      <xdr:spPr>
        <a:xfrm flipH="1" flipV="1">
          <a:off x="6096000" y="3511550"/>
          <a:ext cx="53975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241300</xdr:colOff>
      <xdr:row>19</xdr:row>
      <xdr:rowOff>44450</xdr:rowOff>
    </xdr:from>
    <xdr:to>
      <xdr:col>14</xdr:col>
      <xdr:colOff>76200</xdr:colOff>
      <xdr:row>21</xdr:row>
      <xdr:rowOff>139700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3D44D2FA-5ACD-434C-85F1-05CC0836CFF3}"/>
            </a:ext>
          </a:extLst>
        </xdr:cNvPr>
        <xdr:cNvCxnSpPr/>
      </xdr:nvCxnSpPr>
      <xdr:spPr>
        <a:xfrm flipV="1">
          <a:off x="6680200" y="3498850"/>
          <a:ext cx="10541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19</xdr:row>
      <xdr:rowOff>12700</xdr:rowOff>
    </xdr:from>
    <xdr:to>
      <xdr:col>14</xdr:col>
      <xdr:colOff>133350</xdr:colOff>
      <xdr:row>21</xdr:row>
      <xdr:rowOff>146050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8DADD40D-6BFB-4EDB-9312-D38EE5C5EB43}"/>
            </a:ext>
          </a:extLst>
        </xdr:cNvPr>
        <xdr:cNvCxnSpPr/>
      </xdr:nvCxnSpPr>
      <xdr:spPr>
        <a:xfrm flipV="1">
          <a:off x="7251700" y="3467100"/>
          <a:ext cx="5397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19</xdr:row>
      <xdr:rowOff>19050</xdr:rowOff>
    </xdr:from>
    <xdr:to>
      <xdr:col>14</xdr:col>
      <xdr:colOff>273050</xdr:colOff>
      <xdr:row>21</xdr:row>
      <xdr:rowOff>158750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D463E639-D239-4ECC-9791-51FE14836D95}"/>
            </a:ext>
          </a:extLst>
        </xdr:cNvPr>
        <xdr:cNvCxnSpPr/>
      </xdr:nvCxnSpPr>
      <xdr:spPr>
        <a:xfrm flipV="1">
          <a:off x="6013450" y="3473450"/>
          <a:ext cx="1917700" cy="501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184150</xdr:colOff>
      <xdr:row>16</xdr:row>
      <xdr:rowOff>152400</xdr:rowOff>
    </xdr:from>
    <xdr:to>
      <xdr:col>11</xdr:col>
      <xdr:colOff>190500</xdr:colOff>
      <xdr:row>18</xdr:row>
      <xdr:rowOff>6350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2CD737E0-BAB4-4433-A568-89EAD5D62E77}"/>
            </a:ext>
          </a:extLst>
        </xdr:cNvPr>
        <xdr:cNvCxnSpPr/>
      </xdr:nvCxnSpPr>
      <xdr:spPr>
        <a:xfrm flipH="1" flipV="1">
          <a:off x="6026150" y="3048000"/>
          <a:ext cx="6350" cy="22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215900</xdr:colOff>
      <xdr:row>17</xdr:row>
      <xdr:rowOff>19050</xdr:rowOff>
    </xdr:from>
    <xdr:to>
      <xdr:col>14</xdr:col>
      <xdr:colOff>228600</xdr:colOff>
      <xdr:row>18</xdr:row>
      <xdr:rowOff>12700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A2C5117C-75A6-4922-A634-334388136EC7}"/>
            </a:ext>
          </a:extLst>
        </xdr:cNvPr>
        <xdr:cNvCxnSpPr/>
      </xdr:nvCxnSpPr>
      <xdr:spPr>
        <a:xfrm flipV="1">
          <a:off x="7874000" y="30988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590550</xdr:colOff>
      <xdr:row>15</xdr:row>
      <xdr:rowOff>171450</xdr:rowOff>
    </xdr:from>
    <xdr:to>
      <xdr:col>32</xdr:col>
      <xdr:colOff>25400</xdr:colOff>
      <xdr:row>16</xdr:row>
      <xdr:rowOff>101600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F819FC1D-DD4E-43A2-BC1E-0D9F9F67D2EB}"/>
            </a:ext>
          </a:extLst>
        </xdr:cNvPr>
        <xdr:cNvCxnSpPr/>
      </xdr:nvCxnSpPr>
      <xdr:spPr>
        <a:xfrm flipH="1">
          <a:off x="17449800" y="2876550"/>
          <a:ext cx="1187450" cy="12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509323</xdr:colOff>
      <xdr:row>16</xdr:row>
      <xdr:rowOff>19843</xdr:rowOff>
    </xdr:from>
    <xdr:to>
      <xdr:col>36</xdr:col>
      <xdr:colOff>449792</xdr:colOff>
      <xdr:row>19</xdr:row>
      <xdr:rowOff>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68D314C4-BCEC-4BA8-B684-0BEF044189E6}"/>
            </a:ext>
          </a:extLst>
        </xdr:cNvPr>
        <xdr:cNvCxnSpPr/>
      </xdr:nvCxnSpPr>
      <xdr:spPr>
        <a:xfrm flipH="1">
          <a:off x="20949973" y="2915443"/>
          <a:ext cx="550069" cy="5389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8ECB-8319-491D-A70E-8ABD79001C26}">
  <dimension ref="A2:Q22"/>
  <sheetViews>
    <sheetView topLeftCell="A6" zoomScale="132" zoomScaleNormal="132" workbookViewId="0">
      <selection activeCell="F21" sqref="F21:G21"/>
    </sheetView>
  </sheetViews>
  <sheetFormatPr defaultRowHeight="14" x14ac:dyDescent="0.3"/>
  <cols>
    <col min="1" max="1" width="11.453125" customWidth="1"/>
    <col min="2" max="11" width="5.54296875" customWidth="1"/>
    <col min="12" max="12" width="5.453125" customWidth="1"/>
    <col min="13" max="17" width="6.26953125" customWidth="1"/>
  </cols>
  <sheetData>
    <row r="2" spans="1:17" ht="14.5" thickBot="1" x14ac:dyDescent="0.35">
      <c r="A2" t="s">
        <v>0</v>
      </c>
    </row>
    <row r="3" spans="1:17" ht="14.5" thickBot="1" x14ac:dyDescent="0.35">
      <c r="M3" s="92">
        <f>M5</f>
        <v>0.1</v>
      </c>
    </row>
    <row r="4" spans="1:17" ht="14.5" thickBot="1" x14ac:dyDescent="0.35">
      <c r="F4" s="15">
        <f>F6</f>
        <v>-2.38</v>
      </c>
    </row>
    <row r="5" spans="1:17" ht="14.5" thickBot="1" x14ac:dyDescent="0.35">
      <c r="M5" s="97">
        <f>M7</f>
        <v>0.1</v>
      </c>
    </row>
    <row r="6" spans="1:17" ht="14.5" thickBot="1" x14ac:dyDescent="0.35">
      <c r="D6" t="s">
        <v>1</v>
      </c>
      <c r="F6" s="14">
        <f>F8</f>
        <v>-2.38</v>
      </c>
    </row>
    <row r="7" spans="1:17" ht="14.5" thickBot="1" x14ac:dyDescent="0.35">
      <c r="M7" s="20">
        <f>C17*K10+E17*M10+G17*N12+I17*O11+K17*Q10</f>
        <v>0.1</v>
      </c>
    </row>
    <row r="8" spans="1:17" ht="14.5" thickBot="1" x14ac:dyDescent="0.35">
      <c r="E8" t="s">
        <v>2</v>
      </c>
      <c r="F8" s="13">
        <f>C17*B13+E17*D13+G17*E11+I17*G11+K17*I10</f>
        <v>-2.38</v>
      </c>
    </row>
    <row r="9" spans="1:17" ht="14.5" thickBot="1" x14ac:dyDescent="0.35"/>
    <row r="10" spans="1:17" ht="14.5" thickBot="1" x14ac:dyDescent="0.35">
      <c r="I10" s="11">
        <v>2.92</v>
      </c>
      <c r="K10" s="16">
        <v>0.1</v>
      </c>
      <c r="M10" s="17">
        <v>0.17</v>
      </c>
      <c r="Q10" s="19">
        <v>-2.97</v>
      </c>
    </row>
    <row r="11" spans="1:17" x14ac:dyDescent="0.3">
      <c r="E11" s="9">
        <v>-2.38</v>
      </c>
      <c r="G11" s="10">
        <v>2.21</v>
      </c>
      <c r="O11" s="18">
        <v>-0.64</v>
      </c>
    </row>
    <row r="12" spans="1:17" ht="14.5" thickBot="1" x14ac:dyDescent="0.35">
      <c r="N12" s="9">
        <v>0.1</v>
      </c>
    </row>
    <row r="13" spans="1:17" ht="14.5" thickBot="1" x14ac:dyDescent="0.35">
      <c r="B13" s="7">
        <v>-2.38</v>
      </c>
      <c r="D13" s="8">
        <v>0.61</v>
      </c>
    </row>
    <row r="16" spans="1:17" ht="14.5" thickBot="1" x14ac:dyDescent="0.35"/>
    <row r="17" spans="1:11" ht="14.5" thickBot="1" x14ac:dyDescent="0.35">
      <c r="C17" s="2">
        <v>0</v>
      </c>
      <c r="E17" s="4">
        <v>0</v>
      </c>
      <c r="G17" s="3">
        <v>1</v>
      </c>
      <c r="I17" s="5">
        <v>0</v>
      </c>
      <c r="K17" s="1">
        <v>0</v>
      </c>
    </row>
    <row r="19" spans="1:11" x14ac:dyDescent="0.3">
      <c r="C19" t="s">
        <v>3</v>
      </c>
      <c r="E19" t="s">
        <v>4</v>
      </c>
      <c r="G19" t="s">
        <v>5</v>
      </c>
      <c r="I19" s="98" t="s">
        <v>6</v>
      </c>
      <c r="K19" t="s">
        <v>7</v>
      </c>
    </row>
    <row r="21" spans="1:11" x14ac:dyDescent="0.3">
      <c r="A21" t="s">
        <v>8</v>
      </c>
      <c r="F21" s="37">
        <v>-2.38</v>
      </c>
      <c r="G21" s="37">
        <v>0.1</v>
      </c>
    </row>
    <row r="22" spans="1:11" x14ac:dyDescent="0.3">
      <c r="A22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1EC1-DA94-4637-A365-0154F76938D4}">
  <dimension ref="A1:Q21"/>
  <sheetViews>
    <sheetView topLeftCell="A2" workbookViewId="0">
      <selection activeCell="U15" sqref="U15"/>
    </sheetView>
  </sheetViews>
  <sheetFormatPr defaultRowHeight="14" x14ac:dyDescent="0.3"/>
  <cols>
    <col min="1" max="1" width="11.453125" customWidth="1"/>
    <col min="2" max="11" width="5.54296875" customWidth="1"/>
    <col min="12" max="12" width="5.453125" customWidth="1"/>
    <col min="13" max="17" width="6.26953125" customWidth="1"/>
  </cols>
  <sheetData>
    <row r="1" spans="2:17" ht="14.5" thickBot="1" x14ac:dyDescent="0.35"/>
    <row r="2" spans="2:17" ht="14.5" thickBot="1" x14ac:dyDescent="0.35">
      <c r="M2" s="22">
        <f>M4</f>
        <v>0.17</v>
      </c>
    </row>
    <row r="3" spans="2:17" ht="14.5" thickBot="1" x14ac:dyDescent="0.35">
      <c r="F3" s="15">
        <f>F5</f>
        <v>0.61</v>
      </c>
    </row>
    <row r="4" spans="2:17" ht="14.5" thickBot="1" x14ac:dyDescent="0.35">
      <c r="M4" s="21">
        <f>M6</f>
        <v>0.17</v>
      </c>
    </row>
    <row r="5" spans="2:17" ht="14.5" thickBot="1" x14ac:dyDescent="0.35">
      <c r="D5" t="s">
        <v>1</v>
      </c>
      <c r="F5" s="14">
        <f>F7</f>
        <v>0.61</v>
      </c>
    </row>
    <row r="6" spans="2:17" ht="14.5" thickBot="1" x14ac:dyDescent="0.35">
      <c r="M6" s="20">
        <f>C16*K9+E16*M9+G16*N11+I16*O10+K16*Q9</f>
        <v>0.17</v>
      </c>
    </row>
    <row r="7" spans="2:17" ht="14.5" thickBot="1" x14ac:dyDescent="0.35">
      <c r="E7" t="s">
        <v>2</v>
      </c>
      <c r="F7" s="13">
        <f>C16*B12+E16*D12+G16*E10+I16*G10+K16*I9</f>
        <v>0.61</v>
      </c>
    </row>
    <row r="8" spans="2:17" ht="14.5" thickBot="1" x14ac:dyDescent="0.35"/>
    <row r="9" spans="2:17" ht="14.5" thickBot="1" x14ac:dyDescent="0.35">
      <c r="I9" s="11">
        <v>2.92</v>
      </c>
      <c r="K9" s="16">
        <v>0.1</v>
      </c>
      <c r="M9" s="17">
        <v>0.17</v>
      </c>
      <c r="Q9" s="19">
        <v>-2.97</v>
      </c>
    </row>
    <row r="10" spans="2:17" x14ac:dyDescent="0.3">
      <c r="E10" s="9">
        <v>-2.38</v>
      </c>
      <c r="G10" s="10">
        <v>2.21</v>
      </c>
      <c r="O10" s="18">
        <v>-0.64</v>
      </c>
    </row>
    <row r="11" spans="2:17" ht="14.5" thickBot="1" x14ac:dyDescent="0.35">
      <c r="N11" s="9">
        <v>0.1</v>
      </c>
    </row>
    <row r="12" spans="2:17" ht="14.5" thickBot="1" x14ac:dyDescent="0.35">
      <c r="B12" s="7">
        <v>-2.38</v>
      </c>
      <c r="D12" s="8">
        <v>0.61</v>
      </c>
    </row>
    <row r="15" spans="2:17" ht="14.5" thickBot="1" x14ac:dyDescent="0.35"/>
    <row r="16" spans="2:17" ht="14.5" thickBot="1" x14ac:dyDescent="0.35">
      <c r="C16" s="2">
        <v>0</v>
      </c>
      <c r="E16" s="4">
        <v>1</v>
      </c>
      <c r="G16" s="3">
        <v>0</v>
      </c>
      <c r="I16" s="5">
        <v>0</v>
      </c>
      <c r="K16" s="1">
        <v>0</v>
      </c>
    </row>
    <row r="18" spans="1:13" x14ac:dyDescent="0.3">
      <c r="C18" t="s">
        <v>3</v>
      </c>
      <c r="E18" t="s">
        <v>4</v>
      </c>
      <c r="G18" t="s">
        <v>5</v>
      </c>
      <c r="I18" t="s">
        <v>6</v>
      </c>
      <c r="K18" t="s">
        <v>7</v>
      </c>
    </row>
    <row r="20" spans="1:13" x14ac:dyDescent="0.3">
      <c r="A20" t="s">
        <v>10</v>
      </c>
      <c r="F20" s="24">
        <f>F3</f>
        <v>0.61</v>
      </c>
      <c r="G20" s="34">
        <f>M2</f>
        <v>0.17</v>
      </c>
      <c r="M20" t="s">
        <v>0</v>
      </c>
    </row>
    <row r="21" spans="1:13" x14ac:dyDescent="0.3">
      <c r="A21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627A-7C6E-425B-97AF-ACCDCBDEDB7C}">
  <dimension ref="A1:Q21"/>
  <sheetViews>
    <sheetView workbookViewId="0">
      <selection activeCell="F20" sqref="F20:G20"/>
    </sheetView>
  </sheetViews>
  <sheetFormatPr defaultRowHeight="14" x14ac:dyDescent="0.3"/>
  <cols>
    <col min="1" max="1" width="11.453125" customWidth="1"/>
    <col min="2" max="11" width="5.54296875" customWidth="1"/>
    <col min="12" max="12" width="5.453125" customWidth="1"/>
    <col min="13" max="17" width="6.26953125" customWidth="1"/>
  </cols>
  <sheetData>
    <row r="1" spans="2:17" ht="14.5" thickBot="1" x14ac:dyDescent="0.35"/>
    <row r="2" spans="2:17" ht="14.5" thickBot="1" x14ac:dyDescent="0.35">
      <c r="M2" s="92">
        <f>M4</f>
        <v>0.1</v>
      </c>
    </row>
    <row r="3" spans="2:17" ht="14.5" thickBot="1" x14ac:dyDescent="0.35">
      <c r="F3" s="15">
        <f>F5</f>
        <v>-2.38</v>
      </c>
    </row>
    <row r="4" spans="2:17" ht="14.5" thickBot="1" x14ac:dyDescent="0.35">
      <c r="M4" s="21">
        <f>M6</f>
        <v>0.1</v>
      </c>
    </row>
    <row r="5" spans="2:17" ht="14.5" thickBot="1" x14ac:dyDescent="0.35">
      <c r="D5" t="s">
        <v>1</v>
      </c>
      <c r="F5" s="14">
        <f>F7</f>
        <v>-2.38</v>
      </c>
    </row>
    <row r="6" spans="2:17" ht="14.5" thickBot="1" x14ac:dyDescent="0.35">
      <c r="M6" s="20">
        <f>C16*K9+E16*M9+G16*N11+I16*O10+K16*Q9</f>
        <v>0.1</v>
      </c>
    </row>
    <row r="7" spans="2:17" ht="14.5" thickBot="1" x14ac:dyDescent="0.35">
      <c r="E7" t="s">
        <v>2</v>
      </c>
      <c r="F7" s="13">
        <f>C16*B12+E16*D12+G16*E10+I16*G10+K16*I9</f>
        <v>-2.38</v>
      </c>
    </row>
    <row r="8" spans="2:17" ht="14.5" thickBot="1" x14ac:dyDescent="0.35"/>
    <row r="9" spans="2:17" ht="14.5" thickBot="1" x14ac:dyDescent="0.35">
      <c r="I9" s="11">
        <v>2.92</v>
      </c>
      <c r="K9" s="16">
        <v>0.1</v>
      </c>
      <c r="M9" s="17">
        <v>0.17</v>
      </c>
      <c r="Q9" s="19">
        <v>-2.97</v>
      </c>
    </row>
    <row r="10" spans="2:17" x14ac:dyDescent="0.3">
      <c r="E10" s="9">
        <v>-2.38</v>
      </c>
      <c r="G10" s="10">
        <v>2.21</v>
      </c>
      <c r="O10" s="18">
        <v>-0.64</v>
      </c>
    </row>
    <row r="11" spans="2:17" ht="14.5" thickBot="1" x14ac:dyDescent="0.35">
      <c r="N11" s="9">
        <v>0.1</v>
      </c>
    </row>
    <row r="12" spans="2:17" ht="14.5" thickBot="1" x14ac:dyDescent="0.35">
      <c r="B12" s="7">
        <v>-2.38</v>
      </c>
      <c r="D12" s="8">
        <v>0.61</v>
      </c>
    </row>
    <row r="15" spans="2:17" ht="14.5" thickBot="1" x14ac:dyDescent="0.35"/>
    <row r="16" spans="2:17" ht="14.5" thickBot="1" x14ac:dyDescent="0.35">
      <c r="C16" s="2">
        <v>0</v>
      </c>
      <c r="E16" s="4">
        <v>0</v>
      </c>
      <c r="G16" s="3">
        <v>1</v>
      </c>
      <c r="I16" s="5">
        <v>0</v>
      </c>
      <c r="K16" s="1">
        <v>0</v>
      </c>
    </row>
    <row r="18" spans="1:11" x14ac:dyDescent="0.3">
      <c r="C18" t="s">
        <v>3</v>
      </c>
      <c r="E18" t="s">
        <v>4</v>
      </c>
      <c r="G18" t="s">
        <v>5</v>
      </c>
      <c r="I18" t="s">
        <v>6</v>
      </c>
      <c r="K18" t="s">
        <v>7</v>
      </c>
    </row>
    <row r="20" spans="1:11" x14ac:dyDescent="0.3">
      <c r="A20" t="s">
        <v>12</v>
      </c>
      <c r="F20" s="103">
        <f>F3</f>
        <v>-2.38</v>
      </c>
      <c r="G20" s="104">
        <f>M2</f>
        <v>0.1</v>
      </c>
    </row>
    <row r="21" spans="1:11" x14ac:dyDescent="0.3">
      <c r="A21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4EB0-4515-4FC7-B54C-22C5509A7654}">
  <dimension ref="A5:Q25"/>
  <sheetViews>
    <sheetView topLeftCell="A3" workbookViewId="0">
      <selection activeCell="R19" sqref="R19"/>
    </sheetView>
  </sheetViews>
  <sheetFormatPr defaultRowHeight="14" x14ac:dyDescent="0.3"/>
  <cols>
    <col min="1" max="1" width="11.453125" customWidth="1"/>
    <col min="2" max="11" width="5.54296875" customWidth="1"/>
    <col min="12" max="12" width="5.453125" customWidth="1"/>
    <col min="13" max="17" width="6.26953125" customWidth="1"/>
  </cols>
  <sheetData>
    <row r="5" spans="2:17" ht="14.5" thickBot="1" x14ac:dyDescent="0.35"/>
    <row r="6" spans="2:17" ht="14.5" thickBot="1" x14ac:dyDescent="0.35">
      <c r="M6" s="22">
        <f>M8</f>
        <v>-0.64</v>
      </c>
    </row>
    <row r="7" spans="2:17" ht="14.5" thickBot="1" x14ac:dyDescent="0.35">
      <c r="F7" s="15">
        <f>F9</f>
        <v>2.21</v>
      </c>
    </row>
    <row r="8" spans="2:17" ht="14.5" thickBot="1" x14ac:dyDescent="0.35">
      <c r="M8" s="21">
        <f>M10</f>
        <v>-0.64</v>
      </c>
    </row>
    <row r="9" spans="2:17" ht="14.5" thickBot="1" x14ac:dyDescent="0.35">
      <c r="D9" t="s">
        <v>1</v>
      </c>
      <c r="F9" s="14">
        <f>F11</f>
        <v>2.21</v>
      </c>
    </row>
    <row r="10" spans="2:17" ht="14.5" thickBot="1" x14ac:dyDescent="0.35">
      <c r="M10" s="20">
        <f>C20*K13+E20*M13+G20*N15+I20*O14+K20*Q13</f>
        <v>-0.64</v>
      </c>
    </row>
    <row r="11" spans="2:17" ht="14.5" thickBot="1" x14ac:dyDescent="0.35">
      <c r="E11" t="s">
        <v>2</v>
      </c>
      <c r="F11" s="13">
        <f>C20*B16+E20*D16+G20*E14+I20*G14+K20*I13</f>
        <v>2.21</v>
      </c>
    </row>
    <row r="12" spans="2:17" ht="14.5" thickBot="1" x14ac:dyDescent="0.35"/>
    <row r="13" spans="2:17" ht="14.5" thickBot="1" x14ac:dyDescent="0.35">
      <c r="I13" s="11">
        <v>2.92</v>
      </c>
      <c r="K13" s="16">
        <v>0.1</v>
      </c>
      <c r="M13" s="17">
        <v>0.17</v>
      </c>
      <c r="Q13" s="19">
        <v>-2.97</v>
      </c>
    </row>
    <row r="14" spans="2:17" x14ac:dyDescent="0.3">
      <c r="E14" s="9">
        <v>-2.38</v>
      </c>
      <c r="G14" s="10">
        <v>2.21</v>
      </c>
      <c r="O14" s="18">
        <v>-0.64</v>
      </c>
    </row>
    <row r="15" spans="2:17" ht="14.5" thickBot="1" x14ac:dyDescent="0.35">
      <c r="N15" s="9">
        <v>0.1</v>
      </c>
    </row>
    <row r="16" spans="2:17" ht="14.5" thickBot="1" x14ac:dyDescent="0.35">
      <c r="B16" s="7">
        <v>-2.38</v>
      </c>
      <c r="D16" s="8">
        <v>0.61</v>
      </c>
    </row>
    <row r="19" spans="1:11" ht="14.5" thickBot="1" x14ac:dyDescent="0.35"/>
    <row r="20" spans="1:11" ht="14.5" thickBot="1" x14ac:dyDescent="0.35">
      <c r="C20" s="2">
        <v>0</v>
      </c>
      <c r="E20" s="4">
        <v>0</v>
      </c>
      <c r="G20" s="3">
        <v>0</v>
      </c>
      <c r="I20" s="5">
        <v>1</v>
      </c>
      <c r="K20" s="1">
        <v>0</v>
      </c>
    </row>
    <row r="22" spans="1:11" x14ac:dyDescent="0.3">
      <c r="C22" t="s">
        <v>3</v>
      </c>
      <c r="E22" t="s">
        <v>4</v>
      </c>
      <c r="G22" t="s">
        <v>5</v>
      </c>
      <c r="I22" t="s">
        <v>6</v>
      </c>
      <c r="K22" t="s">
        <v>7</v>
      </c>
    </row>
    <row r="24" spans="1:11" x14ac:dyDescent="0.3">
      <c r="A24" t="s">
        <v>13</v>
      </c>
      <c r="F24" s="105">
        <f>F7</f>
        <v>2.21</v>
      </c>
      <c r="G24" s="106">
        <f>M6</f>
        <v>-0.64</v>
      </c>
    </row>
    <row r="25" spans="1:11" x14ac:dyDescent="0.3">
      <c r="A25" t="s">
        <v>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A502-F752-48D2-81E3-1AB86164058C}">
  <dimension ref="A1:W25"/>
  <sheetViews>
    <sheetView showGridLines="0" tabSelected="1" topLeftCell="H1" workbookViewId="0">
      <selection activeCell="Q23" sqref="Q23"/>
    </sheetView>
  </sheetViews>
  <sheetFormatPr defaultRowHeight="14" x14ac:dyDescent="0.3"/>
  <cols>
    <col min="20" max="20" width="6.6328125" customWidth="1"/>
    <col min="22" max="22" width="5.26953125" customWidth="1"/>
  </cols>
  <sheetData>
    <row r="1" spans="1:19" x14ac:dyDescent="0.3">
      <c r="S1" s="118" t="s">
        <v>18</v>
      </c>
    </row>
    <row r="2" spans="1:19" x14ac:dyDescent="0.3">
      <c r="S2" s="118"/>
    </row>
    <row r="3" spans="1:19" x14ac:dyDescent="0.3">
      <c r="S3" s="118"/>
    </row>
    <row r="4" spans="1:19" x14ac:dyDescent="0.3">
      <c r="A4" t="s">
        <v>14</v>
      </c>
      <c r="B4" s="40">
        <f>B6+B8</f>
        <v>-2.38</v>
      </c>
      <c r="E4" s="40">
        <f>E6+E8</f>
        <v>1.1000000000000001</v>
      </c>
      <c r="G4" t="s">
        <v>15</v>
      </c>
      <c r="H4" s="40">
        <f>H6+H8</f>
        <v>1.45</v>
      </c>
      <c r="K4" s="40">
        <f>K6+K8</f>
        <v>0.71000000000000008</v>
      </c>
      <c r="M4" t="s">
        <v>16</v>
      </c>
      <c r="N4" s="40">
        <f>N6+N8</f>
        <v>-1.48</v>
      </c>
      <c r="Q4" s="40">
        <f>Q6+Q8</f>
        <v>-0.31999999999999995</v>
      </c>
      <c r="S4" s="118"/>
    </row>
    <row r="5" spans="1:19" ht="14.15" customHeight="1" x14ac:dyDescent="0.3">
      <c r="B5" s="27" t="s">
        <v>17</v>
      </c>
      <c r="E5" s="27" t="s">
        <v>17</v>
      </c>
      <c r="H5" s="27" t="s">
        <v>17</v>
      </c>
      <c r="K5" s="27" t="s">
        <v>17</v>
      </c>
      <c r="N5" s="27" t="s">
        <v>17</v>
      </c>
      <c r="S5" s="118"/>
    </row>
    <row r="6" spans="1:19" x14ac:dyDescent="0.3">
      <c r="A6" s="35" t="s">
        <v>19</v>
      </c>
      <c r="B6" s="37">
        <v>0</v>
      </c>
      <c r="C6" s="23"/>
      <c r="D6" s="23" t="s">
        <v>20</v>
      </c>
      <c r="E6" s="38">
        <v>1</v>
      </c>
      <c r="G6" s="23" t="s">
        <v>19</v>
      </c>
      <c r="H6" s="37">
        <v>0.84</v>
      </c>
      <c r="I6" s="23"/>
      <c r="J6" s="23" t="s">
        <v>20</v>
      </c>
      <c r="K6" s="38">
        <v>0.54</v>
      </c>
      <c r="M6" t="s">
        <v>19</v>
      </c>
      <c r="N6" s="37">
        <v>0.9</v>
      </c>
      <c r="O6" s="23"/>
      <c r="P6" s="23"/>
      <c r="Q6" s="38">
        <v>-0.42</v>
      </c>
      <c r="S6" s="118"/>
    </row>
    <row r="7" spans="1:19" ht="14.5" thickBot="1" x14ac:dyDescent="0.35">
      <c r="B7" s="27" t="s">
        <v>21</v>
      </c>
      <c r="C7" s="23"/>
      <c r="D7" s="23"/>
      <c r="E7" s="27" t="s">
        <v>21</v>
      </c>
      <c r="H7" s="27" t="s">
        <v>21</v>
      </c>
      <c r="I7" s="23"/>
      <c r="J7" s="23"/>
      <c r="K7" s="27" t="s">
        <v>21</v>
      </c>
      <c r="N7" s="27" t="s">
        <v>21</v>
      </c>
      <c r="O7" s="27"/>
      <c r="P7" s="23"/>
      <c r="Q7" s="27" t="s">
        <v>21</v>
      </c>
      <c r="S7" s="118"/>
    </row>
    <row r="8" spans="1:19" ht="15" thickTop="1" thickBot="1" x14ac:dyDescent="0.35">
      <c r="B8" s="37">
        <v>-2.38</v>
      </c>
      <c r="C8" s="107"/>
      <c r="D8" s="23"/>
      <c r="E8" s="37">
        <v>0.1</v>
      </c>
      <c r="H8" s="108">
        <v>0.61</v>
      </c>
      <c r="I8" s="23"/>
      <c r="J8" s="23"/>
      <c r="K8" s="108">
        <v>0.17</v>
      </c>
      <c r="N8" s="109">
        <v>-2.38</v>
      </c>
      <c r="Q8" s="110">
        <v>0.1</v>
      </c>
      <c r="S8" s="118"/>
    </row>
    <row r="9" spans="1:19" ht="14.5" thickTop="1" x14ac:dyDescent="0.3">
      <c r="B9" s="27" t="s">
        <v>21</v>
      </c>
      <c r="C9" s="27"/>
      <c r="D9" s="23"/>
      <c r="E9" s="27" t="s">
        <v>21</v>
      </c>
      <c r="H9" s="27" t="s">
        <v>21</v>
      </c>
      <c r="I9" s="27"/>
      <c r="J9" s="23"/>
      <c r="K9" s="27" t="s">
        <v>21</v>
      </c>
      <c r="N9" s="27" t="s">
        <v>21</v>
      </c>
      <c r="O9" s="27"/>
      <c r="P9" s="23"/>
      <c r="Q9" s="27" t="s">
        <v>21</v>
      </c>
      <c r="S9" s="118"/>
    </row>
    <row r="10" spans="1:19" ht="14.5" thickBot="1" x14ac:dyDescent="0.35"/>
    <row r="11" spans="1:19" ht="15" thickTop="1" thickBot="1" x14ac:dyDescent="0.35">
      <c r="B11" s="28"/>
      <c r="E11" s="28"/>
      <c r="H11" s="28"/>
      <c r="K11" s="28"/>
      <c r="N11" s="28"/>
      <c r="Q11" s="28"/>
    </row>
    <row r="12" spans="1:19" ht="14.5" thickTop="1" x14ac:dyDescent="0.3"/>
    <row r="15" spans="1:19" x14ac:dyDescent="0.3">
      <c r="A15" s="29"/>
      <c r="B15" s="30">
        <v>1</v>
      </c>
      <c r="C15" s="31">
        <v>0</v>
      </c>
      <c r="D15" s="31">
        <v>0</v>
      </c>
      <c r="E15" s="31">
        <v>0</v>
      </c>
      <c r="G15" s="29"/>
      <c r="H15" s="32">
        <v>0</v>
      </c>
      <c r="I15" s="30">
        <v>1</v>
      </c>
      <c r="J15" s="31">
        <v>0</v>
      </c>
      <c r="K15" s="31">
        <v>0</v>
      </c>
      <c r="M15" s="29"/>
      <c r="N15" s="32">
        <v>0</v>
      </c>
      <c r="O15" s="31">
        <v>0</v>
      </c>
      <c r="P15" s="33">
        <v>1</v>
      </c>
      <c r="Q15" s="31">
        <v>0</v>
      </c>
    </row>
    <row r="16" spans="1:19" x14ac:dyDescent="0.3">
      <c r="B16" t="s">
        <v>3</v>
      </c>
      <c r="I16" t="s">
        <v>4</v>
      </c>
      <c r="P16" t="s">
        <v>5</v>
      </c>
    </row>
    <row r="19" spans="15:23" x14ac:dyDescent="0.3">
      <c r="O19" t="s">
        <v>22</v>
      </c>
    </row>
    <row r="21" spans="15:23" x14ac:dyDescent="0.3">
      <c r="O21" t="s">
        <v>86</v>
      </c>
    </row>
    <row r="25" spans="15:23" x14ac:dyDescent="0.3">
      <c r="U25" t="s">
        <v>3</v>
      </c>
      <c r="V25" s="120" t="s">
        <v>4</v>
      </c>
      <c r="W25" t="s">
        <v>5</v>
      </c>
    </row>
  </sheetData>
  <mergeCells count="1">
    <mergeCell ref="S1:S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84CA-16CC-4126-8861-1F028F1304C3}">
  <dimension ref="A1:AB22"/>
  <sheetViews>
    <sheetView topLeftCell="D1" workbookViewId="0">
      <selection activeCell="AB20" sqref="AB20"/>
    </sheetView>
  </sheetViews>
  <sheetFormatPr defaultRowHeight="14" x14ac:dyDescent="0.3"/>
  <cols>
    <col min="1" max="4" width="6.54296875" customWidth="1"/>
    <col min="5" max="5" width="5.453125" customWidth="1"/>
    <col min="6" max="7" width="3.54296875" customWidth="1"/>
    <col min="8" max="9" width="7.26953125" customWidth="1"/>
    <col min="10" max="14" width="5.81640625" customWidth="1"/>
    <col min="15" max="16" width="6.26953125" customWidth="1"/>
    <col min="17" max="17" width="5.54296875" customWidth="1"/>
    <col min="18" max="18" width="5.26953125" customWidth="1"/>
    <col min="19" max="19" width="4.453125" customWidth="1"/>
    <col min="20" max="20" width="5.54296875" customWidth="1"/>
    <col min="21" max="22" width="6.81640625" customWidth="1"/>
  </cols>
  <sheetData>
    <row r="1" spans="1:28" x14ac:dyDescent="0.3">
      <c r="H1" t="s">
        <v>23</v>
      </c>
      <c r="I1" s="66">
        <f>EXP(I3)/(EXP(I3)+EXP(K3))</f>
        <v>3.1118994703324278E-14</v>
      </c>
      <c r="K1">
        <f>EXP(K3)/(EXP(I3)+EXP(K3))</f>
        <v>0.99999999999996891</v>
      </c>
      <c r="M1" t="s">
        <v>24</v>
      </c>
    </row>
    <row r="2" spans="1:28" x14ac:dyDescent="0.3">
      <c r="A2" t="s">
        <v>25</v>
      </c>
    </row>
    <row r="3" spans="1:28" x14ac:dyDescent="0.3">
      <c r="I3" s="48">
        <v>-25.372620000000001</v>
      </c>
      <c r="K3" s="48">
        <v>5.7283379999999982</v>
      </c>
    </row>
    <row r="5" spans="1:28" x14ac:dyDescent="0.3">
      <c r="A5" t="s">
        <v>26</v>
      </c>
      <c r="L5" t="s">
        <v>27</v>
      </c>
    </row>
    <row r="6" spans="1:28" x14ac:dyDescent="0.3">
      <c r="A6" t="s">
        <v>28</v>
      </c>
      <c r="H6" s="48">
        <f>B11*Q11+D11*T11</f>
        <v>-25.372620000000001</v>
      </c>
      <c r="O6" s="48">
        <f>L11*Q11+N11*T11</f>
        <v>5.7283379999999982</v>
      </c>
    </row>
    <row r="8" spans="1:28" ht="14.5" thickBot="1" x14ac:dyDescent="0.35"/>
    <row r="9" spans="1:28" x14ac:dyDescent="0.3">
      <c r="B9" s="56"/>
      <c r="C9" s="57" t="s">
        <v>29</v>
      </c>
      <c r="D9" s="58"/>
      <c r="L9" s="56"/>
      <c r="M9" s="57" t="s">
        <v>29</v>
      </c>
      <c r="N9" s="58"/>
      <c r="Q9" s="59"/>
      <c r="R9" s="60" t="s">
        <v>30</v>
      </c>
      <c r="S9" s="60"/>
      <c r="T9" s="61"/>
    </row>
    <row r="10" spans="1:28" x14ac:dyDescent="0.3">
      <c r="B10" s="51"/>
      <c r="D10" s="52"/>
      <c r="L10" s="51"/>
      <c r="N10" s="52"/>
      <c r="Q10" s="43"/>
      <c r="T10" s="44"/>
    </row>
    <row r="11" spans="1:28" ht="14.5" thickBot="1" x14ac:dyDescent="0.35">
      <c r="A11" t="s">
        <v>2</v>
      </c>
      <c r="B11" s="53">
        <f>A16*E19+C16*H19</f>
        <v>4.34</v>
      </c>
      <c r="C11" s="54"/>
      <c r="D11" s="55">
        <f>D14*H19+E13*E19</f>
        <v>-5.8800000000000008</v>
      </c>
      <c r="K11" t="s">
        <v>2</v>
      </c>
      <c r="L11" s="53">
        <f>K16*O19+M16*R19</f>
        <v>-1.6779999999999999</v>
      </c>
      <c r="M11" s="54"/>
      <c r="N11" s="55">
        <f>N14*R19+O13*O19</f>
        <v>0.6839999999999995</v>
      </c>
      <c r="P11" t="s">
        <v>2</v>
      </c>
      <c r="Q11" s="45">
        <f>O19*P16+R19*S14</f>
        <v>-2.367</v>
      </c>
      <c r="R11" s="46"/>
      <c r="S11" s="46"/>
      <c r="T11" s="47">
        <f>O19*R16+R19*U14</f>
        <v>2.5680000000000001</v>
      </c>
      <c r="W11" t="s">
        <v>31</v>
      </c>
      <c r="Y11" t="s">
        <v>15</v>
      </c>
      <c r="Z11" t="s">
        <v>32</v>
      </c>
    </row>
    <row r="12" spans="1:28" x14ac:dyDescent="0.3">
      <c r="W12" s="63">
        <v>-0.8</v>
      </c>
      <c r="X12" s="49">
        <v>-1.7</v>
      </c>
      <c r="Y12" s="8">
        <v>1.45</v>
      </c>
      <c r="Z12" s="12">
        <f t="array" ref="Z12:Z13">MMULT(W12:X13,Y12:Y13)</f>
        <v>-2.367</v>
      </c>
    </row>
    <row r="13" spans="1:28" x14ac:dyDescent="0.3">
      <c r="E13" s="6">
        <v>1.5</v>
      </c>
      <c r="O13" s="6">
        <v>1.5</v>
      </c>
      <c r="W13" s="64">
        <v>0.4</v>
      </c>
      <c r="X13" s="49">
        <v>2.8</v>
      </c>
      <c r="Y13" s="8">
        <v>0.71</v>
      </c>
      <c r="Z13" s="12">
        <v>2.5679999999999996</v>
      </c>
    </row>
    <row r="14" spans="1:28" x14ac:dyDescent="0.3">
      <c r="D14" s="42">
        <v>-2.1</v>
      </c>
      <c r="N14" s="42">
        <v>-2.1</v>
      </c>
      <c r="S14" s="42">
        <v>-1.7</v>
      </c>
      <c r="U14" s="36">
        <v>2.8</v>
      </c>
      <c r="W14" t="s">
        <v>33</v>
      </c>
      <c r="Y14" t="s">
        <v>15</v>
      </c>
      <c r="Z14" t="s">
        <v>34</v>
      </c>
      <c r="AB14" t="s">
        <v>35</v>
      </c>
    </row>
    <row r="15" spans="1:28" x14ac:dyDescent="0.3">
      <c r="W15" s="63">
        <v>-1.5</v>
      </c>
      <c r="X15" s="49">
        <v>0.7</v>
      </c>
      <c r="Y15" s="8">
        <v>1.45</v>
      </c>
      <c r="Z15" s="62">
        <f t="array" ref="Z15:Z16">MMULT(W15:X16,Y15:Y16)</f>
        <v>-1.6779999999999999</v>
      </c>
      <c r="AB15">
        <f>SUMPRODUCT($Z$12:$Z$13,Z15:Z16)</f>
        <v>5.728337999999999</v>
      </c>
    </row>
    <row r="16" spans="1:28" x14ac:dyDescent="0.3">
      <c r="A16" s="6">
        <v>-1.5</v>
      </c>
      <c r="C16" s="42">
        <v>0.7</v>
      </c>
      <c r="K16" s="6">
        <v>-1.5</v>
      </c>
      <c r="M16" s="42">
        <v>0.7</v>
      </c>
      <c r="P16" s="6">
        <v>-0.8</v>
      </c>
      <c r="R16" s="17">
        <v>0.4</v>
      </c>
      <c r="W16" s="63">
        <v>1.5</v>
      </c>
      <c r="X16" s="49">
        <v>-2.1</v>
      </c>
      <c r="Y16" s="8">
        <v>0.71</v>
      </c>
      <c r="Z16" s="62">
        <v>0.68399999999999994</v>
      </c>
    </row>
    <row r="17" spans="5:28" x14ac:dyDescent="0.3">
      <c r="W17" t="s">
        <v>33</v>
      </c>
      <c r="Y17" t="s">
        <v>14</v>
      </c>
    </row>
    <row r="18" spans="5:28" x14ac:dyDescent="0.3">
      <c r="W18" s="63">
        <v>-1.5</v>
      </c>
      <c r="X18" s="49">
        <v>0.7</v>
      </c>
      <c r="Y18" s="6">
        <v>-2.38</v>
      </c>
      <c r="Z18" s="62">
        <f t="array" ref="Z18:Z19">MMULT(W18:X19,Y18:Y19)</f>
        <v>4.34</v>
      </c>
      <c r="AB18" s="98">
        <f>SUMPRODUCT($Z$12:$Z$13,Z18:Z19)</f>
        <v>-25.372619999999998</v>
      </c>
    </row>
    <row r="19" spans="5:28" x14ac:dyDescent="0.3">
      <c r="E19" s="63">
        <v>-2.38</v>
      </c>
      <c r="H19" s="63">
        <v>1.1000000000000001</v>
      </c>
      <c r="K19" s="23"/>
      <c r="L19" s="23"/>
      <c r="M19" s="23"/>
      <c r="N19" s="23"/>
      <c r="O19" s="24">
        <v>1.45</v>
      </c>
      <c r="R19" s="24">
        <v>0.71000000000000008</v>
      </c>
      <c r="W19" s="63">
        <v>1.5</v>
      </c>
      <c r="X19" s="49">
        <v>-2.1</v>
      </c>
      <c r="Y19" s="6">
        <v>1.1000000000000001</v>
      </c>
      <c r="Z19" s="62">
        <v>-5.8800000000000008</v>
      </c>
    </row>
    <row r="21" spans="5:28" x14ac:dyDescent="0.3">
      <c r="E21" s="41">
        <v>1</v>
      </c>
      <c r="F21" s="41"/>
      <c r="G21" s="41"/>
      <c r="H21" s="41"/>
      <c r="K21" s="23"/>
      <c r="L21" s="23"/>
      <c r="O21" s="41"/>
      <c r="P21" s="41">
        <v>1</v>
      </c>
      <c r="Q21" s="41"/>
      <c r="R21" s="41"/>
    </row>
    <row r="22" spans="5:28" x14ac:dyDescent="0.3">
      <c r="E22" t="s">
        <v>36</v>
      </c>
      <c r="P22" t="s"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37C6-20FD-44E2-92EF-A1085C0D1CF4}">
  <dimension ref="A1:AB26"/>
  <sheetViews>
    <sheetView topLeftCell="F1" workbookViewId="0">
      <selection activeCell="AD14" sqref="AD14"/>
    </sheetView>
  </sheetViews>
  <sheetFormatPr defaultRowHeight="14" x14ac:dyDescent="0.3"/>
  <cols>
    <col min="1" max="4" width="6.54296875" customWidth="1"/>
    <col min="5" max="5" width="5.453125" customWidth="1"/>
    <col min="6" max="6" width="4" customWidth="1"/>
    <col min="7" max="7" width="4.453125" customWidth="1"/>
    <col min="8" max="9" width="7.26953125" customWidth="1"/>
    <col min="10" max="14" width="5.81640625" customWidth="1"/>
    <col min="15" max="15" width="6.26953125" customWidth="1"/>
    <col min="16" max="16" width="5" customWidth="1"/>
    <col min="17" max="17" width="5.54296875" customWidth="1"/>
    <col min="18" max="18" width="5.26953125" customWidth="1"/>
    <col min="19" max="19" width="4.453125" customWidth="1"/>
    <col min="20" max="20" width="5.54296875" customWidth="1"/>
    <col min="21" max="22" width="6.81640625" customWidth="1"/>
  </cols>
  <sheetData>
    <row r="1" spans="1:28" x14ac:dyDescent="0.3">
      <c r="Q1" t="s">
        <v>37</v>
      </c>
    </row>
    <row r="2" spans="1:28" x14ac:dyDescent="0.3">
      <c r="U2" s="68">
        <f>E4*I5+O4*K5</f>
        <v>1.0999999999999659</v>
      </c>
      <c r="V2" s="68">
        <f>H4*I5+R4*K5</f>
        <v>0.93999999999997075</v>
      </c>
      <c r="W2" s="23">
        <v>0</v>
      </c>
      <c r="X2" s="23">
        <v>1</v>
      </c>
      <c r="Y2" s="96">
        <v>-2.93</v>
      </c>
      <c r="Z2" s="87">
        <v>1.3180000000000001</v>
      </c>
      <c r="AA2" s="50">
        <f t="array" ref="AA2:AB2">MMULT(W2:X2,Y2:Z3)</f>
        <v>1.1000000000000001</v>
      </c>
      <c r="AB2" s="50">
        <v>0.94</v>
      </c>
    </row>
    <row r="3" spans="1:28" x14ac:dyDescent="0.3">
      <c r="Y3" s="87">
        <v>1.1000000000000001</v>
      </c>
      <c r="Z3" s="87">
        <v>0.94</v>
      </c>
    </row>
    <row r="4" spans="1:28" x14ac:dyDescent="0.3">
      <c r="E4" s="17">
        <v>-2.93</v>
      </c>
      <c r="H4" s="17">
        <v>-1.3180000000000001</v>
      </c>
      <c r="O4" s="17">
        <v>1.1000000000000001</v>
      </c>
      <c r="R4" s="17">
        <v>0.94</v>
      </c>
    </row>
    <row r="5" spans="1:28" x14ac:dyDescent="0.3">
      <c r="H5" t="s">
        <v>23</v>
      </c>
      <c r="I5" s="67">
        <v>0</v>
      </c>
      <c r="K5">
        <f>EXP(K7)/(EXP(I7)+EXP(K7))</f>
        <v>0.99999999999996891</v>
      </c>
      <c r="M5" t="s">
        <v>24</v>
      </c>
    </row>
    <row r="6" spans="1:28" x14ac:dyDescent="0.3">
      <c r="M6" t="s">
        <v>38</v>
      </c>
    </row>
    <row r="7" spans="1:28" x14ac:dyDescent="0.3">
      <c r="I7" s="48">
        <v>-25.372620000000001</v>
      </c>
      <c r="K7" s="48">
        <v>5.7283379999999982</v>
      </c>
    </row>
    <row r="9" spans="1:28" x14ac:dyDescent="0.3">
      <c r="A9" t="s">
        <v>26</v>
      </c>
      <c r="L9" t="s">
        <v>27</v>
      </c>
    </row>
    <row r="10" spans="1:28" x14ac:dyDescent="0.3">
      <c r="H10" s="48">
        <f>B15*Q15+D15*T15</f>
        <v>-25.372620000000001</v>
      </c>
      <c r="O10" s="48">
        <f>L15*Q15+N15*T15</f>
        <v>5.7283379999999982</v>
      </c>
    </row>
    <row r="12" spans="1:28" ht="14.5" thickBot="1" x14ac:dyDescent="0.35"/>
    <row r="13" spans="1:28" x14ac:dyDescent="0.3">
      <c r="B13" s="56"/>
      <c r="C13" s="57" t="s">
        <v>29</v>
      </c>
      <c r="D13" s="58"/>
      <c r="L13" s="56"/>
      <c r="M13" s="57" t="s">
        <v>29</v>
      </c>
      <c r="N13" s="58"/>
      <c r="Q13" s="59"/>
      <c r="R13" s="60" t="s">
        <v>30</v>
      </c>
      <c r="S13" s="60"/>
      <c r="T13" s="61"/>
      <c r="W13" t="s">
        <v>4</v>
      </c>
    </row>
    <row r="14" spans="1:28" x14ac:dyDescent="0.3">
      <c r="B14" s="51"/>
      <c r="D14" s="52"/>
      <c r="L14" s="51"/>
      <c r="N14" s="52"/>
      <c r="Q14" s="43"/>
      <c r="T14" s="44"/>
    </row>
    <row r="15" spans="1:28" ht="14.5" thickBot="1" x14ac:dyDescent="0.35">
      <c r="A15" t="s">
        <v>2</v>
      </c>
      <c r="B15" s="53">
        <f>A20*E23+C20*H23</f>
        <v>4.34</v>
      </c>
      <c r="C15" s="54"/>
      <c r="D15" s="55">
        <f>D18*H23+E17*E23</f>
        <v>-5.8800000000000008</v>
      </c>
      <c r="K15" t="s">
        <v>2</v>
      </c>
      <c r="L15" s="53">
        <f>K20*O23+M20*R23</f>
        <v>-1.6779999999999999</v>
      </c>
      <c r="M15" s="54"/>
      <c r="N15" s="55">
        <f>N18*R23+O17*O23</f>
        <v>0.6839999999999995</v>
      </c>
      <c r="P15" t="s">
        <v>2</v>
      </c>
      <c r="Q15" s="45">
        <f>O23*P20+R23*S18</f>
        <v>-2.367</v>
      </c>
      <c r="R15" s="46"/>
      <c r="S15" s="46"/>
      <c r="T15" s="47">
        <f>O23*R20+R23*U18</f>
        <v>2.5680000000000001</v>
      </c>
      <c r="W15" s="112" t="s">
        <v>39</v>
      </c>
      <c r="X15" s="112"/>
      <c r="Y15" s="23" t="s">
        <v>15</v>
      </c>
      <c r="Z15" s="23" t="s">
        <v>40</v>
      </c>
      <c r="AB15" s="111"/>
    </row>
    <row r="16" spans="1:28" ht="14.5" thickTop="1" x14ac:dyDescent="0.3">
      <c r="V16" s="115"/>
      <c r="W16" s="116">
        <v>1</v>
      </c>
      <c r="X16" s="113">
        <v>-0.5</v>
      </c>
      <c r="Y16" s="24">
        <v>1.45</v>
      </c>
      <c r="Z16" s="99">
        <f t="array" ref="Z16:Z17">MMULT(W16:X17,Y16:Y17)</f>
        <v>1.095</v>
      </c>
    </row>
    <row r="17" spans="1:26" ht="14.5" thickBot="1" x14ac:dyDescent="0.35">
      <c r="E17" s="6">
        <v>1.5</v>
      </c>
      <c r="O17" s="6">
        <v>1.5</v>
      </c>
      <c r="V17" s="115"/>
      <c r="W17" s="114">
        <v>0.6</v>
      </c>
      <c r="X17" s="117">
        <v>0.1</v>
      </c>
      <c r="Y17" s="24">
        <v>0.71</v>
      </c>
      <c r="Z17" s="99">
        <v>0.94099999999999995</v>
      </c>
    </row>
    <row r="18" spans="1:26" ht="14.5" thickTop="1" x14ac:dyDescent="0.3">
      <c r="D18" s="42">
        <v>-2.1</v>
      </c>
      <c r="N18" s="42">
        <v>-2.1</v>
      </c>
      <c r="S18" s="42">
        <v>-1.7</v>
      </c>
      <c r="U18" s="36">
        <v>2.8</v>
      </c>
      <c r="Y18" s="23" t="s">
        <v>14</v>
      </c>
      <c r="Z18" t="s">
        <v>41</v>
      </c>
    </row>
    <row r="19" spans="1:26" x14ac:dyDescent="0.3">
      <c r="W19" s="64">
        <v>1</v>
      </c>
      <c r="X19" s="64">
        <v>-0.5</v>
      </c>
      <c r="Y19" s="63">
        <v>-2.38</v>
      </c>
      <c r="Z19" s="8">
        <f t="array" ref="Z19:Z20">MMULT(W19:X20,Y19:Y20)</f>
        <v>-2.9299999999999997</v>
      </c>
    </row>
    <row r="20" spans="1:26" x14ac:dyDescent="0.3">
      <c r="A20" s="6">
        <v>-1.5</v>
      </c>
      <c r="C20" s="42">
        <v>0.7</v>
      </c>
      <c r="K20" s="6">
        <v>-1.5</v>
      </c>
      <c r="M20" s="42">
        <v>0.7</v>
      </c>
      <c r="P20" s="6">
        <v>-0.8</v>
      </c>
      <c r="R20" s="17">
        <v>0.4</v>
      </c>
      <c r="W20" s="64">
        <v>0.6</v>
      </c>
      <c r="X20" s="64">
        <v>0.1</v>
      </c>
      <c r="Y20" s="63">
        <v>1.1000000000000001</v>
      </c>
      <c r="Z20" s="8">
        <v>-1.3179999999999998</v>
      </c>
    </row>
    <row r="23" spans="1:26" x14ac:dyDescent="0.3">
      <c r="E23" s="65">
        <v>-2.38</v>
      </c>
      <c r="H23" s="65">
        <v>1.1000000000000001</v>
      </c>
      <c r="K23" s="23"/>
      <c r="L23" s="23"/>
      <c r="M23" s="23"/>
      <c r="N23" s="23"/>
      <c r="O23" s="65">
        <v>1.45</v>
      </c>
      <c r="R23" s="65">
        <v>0.71000000000000008</v>
      </c>
    </row>
    <row r="25" spans="1:26" x14ac:dyDescent="0.3">
      <c r="E25" s="41">
        <v>1</v>
      </c>
      <c r="F25" s="41"/>
      <c r="G25" s="41"/>
      <c r="H25" s="41"/>
      <c r="K25" s="23"/>
      <c r="L25" s="23"/>
      <c r="O25" s="41"/>
      <c r="P25" s="41">
        <v>1</v>
      </c>
      <c r="Q25" s="41"/>
      <c r="R25" s="41"/>
    </row>
    <row r="26" spans="1:26" x14ac:dyDescent="0.3">
      <c r="E26" t="s">
        <v>36</v>
      </c>
      <c r="P26" t="s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7F1A-1EDD-4F6C-A906-E74912A88F43}">
  <dimension ref="A1:U26"/>
  <sheetViews>
    <sheetView topLeftCell="B1" workbookViewId="0">
      <selection activeCell="U10" sqref="U10"/>
    </sheetView>
  </sheetViews>
  <sheetFormatPr defaultRowHeight="14" x14ac:dyDescent="0.3"/>
  <cols>
    <col min="1" max="4" width="6.54296875" customWidth="1"/>
    <col min="5" max="5" width="5.453125" customWidth="1"/>
    <col min="6" max="6" width="4" customWidth="1"/>
    <col min="7" max="7" width="4.453125" customWidth="1"/>
    <col min="8" max="8" width="7.26953125" customWidth="1"/>
    <col min="9" max="11" width="5.81640625" customWidth="1"/>
  </cols>
  <sheetData>
    <row r="1" spans="1:21" ht="16" x14ac:dyDescent="0.3">
      <c r="Q1" s="23" t="s">
        <v>84</v>
      </c>
      <c r="S1" t="s">
        <v>34</v>
      </c>
      <c r="T1" s="119"/>
    </row>
    <row r="2" spans="1:21" x14ac:dyDescent="0.3">
      <c r="L2" s="50">
        <f>E4*I5</f>
        <v>-2.93</v>
      </c>
      <c r="M2" t="s">
        <v>42</v>
      </c>
      <c r="Q2" s="48">
        <v>3.3999999999999808E-2</v>
      </c>
      <c r="R2" s="48">
        <v>2.1280000000000001</v>
      </c>
      <c r="S2" s="88">
        <v>4.34</v>
      </c>
      <c r="T2" s="19" cm="1">
        <f t="array" ref="T2">MMULT(Q2:R2,S2:S3)</f>
        <v>-12.365080000000004</v>
      </c>
      <c r="U2" s="119"/>
    </row>
    <row r="3" spans="1:21" x14ac:dyDescent="0.3">
      <c r="E3" s="17"/>
      <c r="L3" s="50">
        <f>H4*I5</f>
        <v>-1.3180000000000001</v>
      </c>
      <c r="S3" s="88">
        <v>-5.8800000000000008</v>
      </c>
    </row>
    <row r="4" spans="1:21" x14ac:dyDescent="0.3">
      <c r="D4" t="s">
        <v>43</v>
      </c>
      <c r="E4" s="17">
        <v>-2.93</v>
      </c>
      <c r="H4" s="17">
        <v>-1.3180000000000001</v>
      </c>
    </row>
    <row r="5" spans="1:21" x14ac:dyDescent="0.3">
      <c r="H5" t="s">
        <v>23</v>
      </c>
      <c r="I5" s="68">
        <f>EXP(I7)/EXP(I7)</f>
        <v>1</v>
      </c>
    </row>
    <row r="6" spans="1:21" x14ac:dyDescent="0.3">
      <c r="P6" t="s">
        <v>44</v>
      </c>
      <c r="R6" t="s">
        <v>14</v>
      </c>
      <c r="S6" t="s">
        <v>32</v>
      </c>
    </row>
    <row r="7" spans="1:21" x14ac:dyDescent="0.3">
      <c r="I7" s="48">
        <f>U11</f>
        <v>-12.365080000000004</v>
      </c>
      <c r="P7" s="63">
        <v>-0.8</v>
      </c>
      <c r="Q7" s="49">
        <v>-1.7</v>
      </c>
      <c r="R7" s="48">
        <v>-2.38</v>
      </c>
      <c r="S7" s="12">
        <f t="array" ref="S7:S8">MMULT(P7:Q8,R7:R8)</f>
        <v>3.3999999999999808E-2</v>
      </c>
    </row>
    <row r="8" spans="1:21" x14ac:dyDescent="0.3">
      <c r="P8" s="64">
        <v>0.4</v>
      </c>
      <c r="Q8" s="49">
        <v>2.8</v>
      </c>
      <c r="R8" s="48">
        <v>1.1000000000000001</v>
      </c>
      <c r="S8" s="12">
        <v>2.1280000000000001</v>
      </c>
    </row>
    <row r="9" spans="1:21" x14ac:dyDescent="0.3">
      <c r="A9" t="s">
        <v>45</v>
      </c>
      <c r="P9" t="s">
        <v>33</v>
      </c>
      <c r="S9" t="s">
        <v>34</v>
      </c>
    </row>
    <row r="10" spans="1:21" x14ac:dyDescent="0.3">
      <c r="H10" s="48">
        <f>B15*H15+D15*K15</f>
        <v>-12.365080000000004</v>
      </c>
      <c r="P10" s="63">
        <v>-1.5</v>
      </c>
      <c r="Q10" s="49">
        <v>0.7</v>
      </c>
      <c r="R10" s="48">
        <v>-2.38</v>
      </c>
      <c r="S10" s="62">
        <f t="array" ref="S10:S11">MMULT(P10:Q11,R10:R11)</f>
        <v>4.34</v>
      </c>
      <c r="U10" t="s">
        <v>85</v>
      </c>
    </row>
    <row r="11" spans="1:21" x14ac:dyDescent="0.3">
      <c r="P11" s="63">
        <v>1.5</v>
      </c>
      <c r="Q11" s="49">
        <v>-2.1</v>
      </c>
      <c r="R11" s="48">
        <v>1.1000000000000001</v>
      </c>
      <c r="S11" s="62">
        <v>-5.8800000000000008</v>
      </c>
      <c r="U11" s="12">
        <f>SUMPRODUCT(S7:S8,S10:S11)</f>
        <v>-12.365080000000004</v>
      </c>
    </row>
    <row r="12" spans="1:21" ht="14.5" thickBot="1" x14ac:dyDescent="0.35"/>
    <row r="13" spans="1:21" x14ac:dyDescent="0.3">
      <c r="B13" s="56"/>
      <c r="C13" s="57" t="s">
        <v>29</v>
      </c>
      <c r="D13" s="58"/>
      <c r="H13" s="59"/>
      <c r="I13" s="60" t="s">
        <v>30</v>
      </c>
      <c r="J13" s="60"/>
      <c r="K13" s="61"/>
    </row>
    <row r="14" spans="1:21" x14ac:dyDescent="0.3">
      <c r="B14" s="51"/>
      <c r="D14" s="52"/>
      <c r="H14" s="43"/>
      <c r="K14" s="44"/>
      <c r="P14" t="s">
        <v>39</v>
      </c>
      <c r="R14" t="s">
        <v>14</v>
      </c>
      <c r="S14" t="s">
        <v>41</v>
      </c>
    </row>
    <row r="15" spans="1:21" ht="14.5" thickBot="1" x14ac:dyDescent="0.35">
      <c r="A15" t="s">
        <v>2</v>
      </c>
      <c r="B15" s="53">
        <f>A20*E23+C20*H23</f>
        <v>4.34</v>
      </c>
      <c r="C15" s="54"/>
      <c r="D15" s="55">
        <f>D18*H23+E17*E23</f>
        <v>-5.8800000000000008</v>
      </c>
      <c r="H15" s="45">
        <f>E23*G20+J18*H23</f>
        <v>3.3999999999999808E-2</v>
      </c>
      <c r="I15" s="46"/>
      <c r="J15" s="46"/>
      <c r="K15" s="47">
        <f>E23*I20+H23*L18</f>
        <v>2.1280000000000001</v>
      </c>
      <c r="P15" s="64">
        <v>1</v>
      </c>
      <c r="Q15" s="64">
        <v>-0.5</v>
      </c>
      <c r="R15" s="48">
        <v>-2.38</v>
      </c>
      <c r="S15" s="8">
        <f t="array" ref="S15:S16">MMULT(P15:Q16,R15:R16)</f>
        <v>-2.9299999999999997</v>
      </c>
    </row>
    <row r="16" spans="1:21" x14ac:dyDescent="0.3">
      <c r="P16" s="64">
        <v>0.6</v>
      </c>
      <c r="Q16" s="64">
        <v>0.1</v>
      </c>
      <c r="R16" s="48">
        <v>1.1000000000000001</v>
      </c>
      <c r="S16" s="8">
        <v>-1.3179999999999998</v>
      </c>
      <c r="T16" t="s">
        <v>43</v>
      </c>
    </row>
    <row r="17" spans="1:12" x14ac:dyDescent="0.3">
      <c r="E17" s="6">
        <v>1.5</v>
      </c>
    </row>
    <row r="18" spans="1:12" x14ac:dyDescent="0.3">
      <c r="D18" s="42">
        <v>-2.1</v>
      </c>
      <c r="J18" s="42">
        <v>-1.7</v>
      </c>
      <c r="L18" s="36">
        <v>2.8</v>
      </c>
    </row>
    <row r="20" spans="1:12" x14ac:dyDescent="0.3">
      <c r="A20" s="6">
        <v>-1.5</v>
      </c>
      <c r="C20" s="42">
        <v>0.7</v>
      </c>
      <c r="G20" s="6">
        <v>-0.8</v>
      </c>
      <c r="I20" s="17">
        <v>0.4</v>
      </c>
    </row>
    <row r="23" spans="1:12" x14ac:dyDescent="0.3">
      <c r="E23" s="65">
        <v>-2.38</v>
      </c>
      <c r="H23" s="65">
        <v>1.1000000000000001</v>
      </c>
    </row>
    <row r="25" spans="1:12" x14ac:dyDescent="0.3">
      <c r="E25" s="41">
        <v>1</v>
      </c>
      <c r="F25" s="41"/>
      <c r="G25" s="41"/>
      <c r="H25" s="41"/>
    </row>
    <row r="26" spans="1:12" x14ac:dyDescent="0.3">
      <c r="E26" t="s">
        <v>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A11D-A71E-4C93-9C29-663EC72D32E5}">
  <dimension ref="A1:AO30"/>
  <sheetViews>
    <sheetView topLeftCell="S1" zoomScale="96" zoomScaleNormal="96" workbookViewId="0">
      <selection activeCell="AI18" sqref="AI18"/>
    </sheetView>
  </sheetViews>
  <sheetFormatPr defaultRowHeight="14" x14ac:dyDescent="0.3"/>
  <cols>
    <col min="9" max="10" width="4.81640625" customWidth="1"/>
    <col min="11" max="11" width="4" customWidth="1"/>
    <col min="12" max="12" width="8.54296875" customWidth="1"/>
    <col min="17" max="17" width="5.26953125" customWidth="1"/>
    <col min="26" max="26" width="11.81640625" customWidth="1"/>
    <col min="27" max="27" width="9.81640625" customWidth="1"/>
    <col min="30" max="30" width="10.1796875" customWidth="1"/>
    <col min="32" max="32" width="6.1796875" customWidth="1"/>
  </cols>
  <sheetData>
    <row r="1" spans="1:38" x14ac:dyDescent="0.3">
      <c r="A1" t="s">
        <v>46</v>
      </c>
      <c r="E1" s="90">
        <f>E4+D12</f>
        <v>-5.2799999999999994</v>
      </c>
      <c r="G1" s="90">
        <f>G4+G12</f>
        <v>-0.19999999999999996</v>
      </c>
      <c r="M1" s="90">
        <f>M4+L12</f>
        <v>2.5499999999999998</v>
      </c>
      <c r="O1" s="90">
        <f>O4+O12</f>
        <v>1.61</v>
      </c>
      <c r="T1" s="90">
        <f>T4+T12</f>
        <v>-4.38</v>
      </c>
      <c r="V1" s="91">
        <f>V4+W12</f>
        <v>-1.62</v>
      </c>
      <c r="AD1" t="s">
        <v>47</v>
      </c>
    </row>
    <row r="3" spans="1:38" x14ac:dyDescent="0.3">
      <c r="A3" t="s">
        <v>48</v>
      </c>
      <c r="AB3" t="s">
        <v>44</v>
      </c>
      <c r="AD3" t="s">
        <v>16</v>
      </c>
      <c r="AE3" t="s">
        <v>49</v>
      </c>
      <c r="AG3" t="s">
        <v>50</v>
      </c>
      <c r="AH3" t="s">
        <v>51</v>
      </c>
    </row>
    <row r="4" spans="1:38" x14ac:dyDescent="0.3">
      <c r="A4" t="s">
        <v>52</v>
      </c>
      <c r="E4" s="80">
        <v>-2.9</v>
      </c>
      <c r="F4" s="23"/>
      <c r="G4" s="80">
        <v>-1.3</v>
      </c>
      <c r="H4" s="23"/>
      <c r="I4" s="23"/>
      <c r="J4" s="23"/>
      <c r="K4" s="23"/>
      <c r="L4" s="23"/>
      <c r="M4" s="80">
        <v>1.1000000000000001</v>
      </c>
      <c r="N4" s="23"/>
      <c r="O4" s="80">
        <v>0.9</v>
      </c>
      <c r="T4" s="80">
        <v>-2.9</v>
      </c>
      <c r="U4" s="23"/>
      <c r="V4" s="80">
        <v>-1.3</v>
      </c>
      <c r="AB4" s="63">
        <v>-0.8</v>
      </c>
      <c r="AC4" s="49">
        <v>-1.7</v>
      </c>
      <c r="AD4" s="40">
        <v>-1.48</v>
      </c>
      <c r="AE4" s="12">
        <f t="array" ref="AE4:AE5">MMULT(AB4:AC5,AD4:AD5)</f>
        <v>1.694</v>
      </c>
      <c r="AG4" s="81">
        <v>4.34</v>
      </c>
      <c r="AH4" s="64">
        <v>-2.9</v>
      </c>
      <c r="AI4" s="23"/>
    </row>
    <row r="5" spans="1:38" ht="14.5" thickBot="1" x14ac:dyDescent="0.35">
      <c r="AB5" s="64">
        <v>0.4</v>
      </c>
      <c r="AC5" s="49">
        <v>2.8</v>
      </c>
      <c r="AD5" s="40">
        <v>-0.30000000000000004</v>
      </c>
      <c r="AE5" s="12">
        <v>-1.4319999999999999</v>
      </c>
      <c r="AG5" s="81">
        <v>-5.8800000000000008</v>
      </c>
      <c r="AH5" s="64">
        <v>-1.3</v>
      </c>
      <c r="AI5" s="23"/>
      <c r="AK5" s="23"/>
      <c r="AL5" s="23"/>
    </row>
    <row r="6" spans="1:38" x14ac:dyDescent="0.3">
      <c r="C6" s="69"/>
      <c r="D6" s="70"/>
      <c r="E6" s="70"/>
      <c r="F6" s="70"/>
      <c r="G6" s="70"/>
      <c r="H6" s="70"/>
      <c r="I6" s="71"/>
      <c r="K6" s="69"/>
      <c r="L6" s="70"/>
      <c r="M6" s="70"/>
      <c r="N6" s="70"/>
      <c r="O6" s="70"/>
      <c r="P6" s="70"/>
      <c r="Q6" s="71"/>
      <c r="S6" s="69"/>
      <c r="T6" s="70"/>
      <c r="U6" s="70"/>
      <c r="V6" s="70"/>
      <c r="W6" s="70"/>
      <c r="X6" s="70"/>
      <c r="Y6" s="71"/>
      <c r="AB6" t="s">
        <v>33</v>
      </c>
      <c r="AE6" t="s">
        <v>53</v>
      </c>
      <c r="AG6" t="s">
        <v>54</v>
      </c>
      <c r="AH6" t="s">
        <v>55</v>
      </c>
    </row>
    <row r="7" spans="1:38" ht="14.5" thickBot="1" x14ac:dyDescent="0.35">
      <c r="C7" s="72"/>
      <c r="D7" s="77" t="s">
        <v>32</v>
      </c>
      <c r="F7" s="78" t="s">
        <v>34</v>
      </c>
      <c r="H7" s="79" t="s">
        <v>56</v>
      </c>
      <c r="I7" s="73"/>
      <c r="K7" s="72"/>
      <c r="L7" s="77" t="s">
        <v>32</v>
      </c>
      <c r="N7" s="78" t="s">
        <v>34</v>
      </c>
      <c r="P7" s="79" t="s">
        <v>56</v>
      </c>
      <c r="Q7" s="73"/>
      <c r="S7" s="72"/>
      <c r="T7" s="77" t="s">
        <v>32</v>
      </c>
      <c r="V7" s="78" t="s">
        <v>34</v>
      </c>
      <c r="X7" s="79" t="s">
        <v>56</v>
      </c>
      <c r="Y7" s="73"/>
      <c r="AB7" s="63">
        <v>-1.5</v>
      </c>
      <c r="AC7" s="49">
        <v>0.7</v>
      </c>
      <c r="AD7" s="40">
        <v>-1.48</v>
      </c>
      <c r="AE7" s="62">
        <f t="array" ref="AE7:AE8">MMULT(AB7:AC8,AD7:AD8)</f>
        <v>2.0099999999999998</v>
      </c>
      <c r="AG7" s="53">
        <v>-1.6779999999999999</v>
      </c>
      <c r="AH7" s="64">
        <v>1.1000000000000001</v>
      </c>
    </row>
    <row r="8" spans="1:38" ht="14.5" thickBot="1" x14ac:dyDescent="0.35">
      <c r="C8" s="72"/>
      <c r="D8" s="77"/>
      <c r="F8" s="78"/>
      <c r="H8" s="79"/>
      <c r="I8" s="73"/>
      <c r="K8" s="72"/>
      <c r="L8" s="77"/>
      <c r="N8" s="78"/>
      <c r="P8" s="79"/>
      <c r="Q8" s="73"/>
      <c r="S8" s="72"/>
      <c r="T8" s="77"/>
      <c r="V8" s="78"/>
      <c r="X8" s="79"/>
      <c r="Y8" s="73"/>
      <c r="AB8" s="63">
        <v>1.5</v>
      </c>
      <c r="AC8" s="49">
        <v>-2.1</v>
      </c>
      <c r="AD8" s="40">
        <v>-0.30000000000000004</v>
      </c>
      <c r="AE8" s="62">
        <v>-1.5899999999999996</v>
      </c>
      <c r="AG8" s="55">
        <v>0.6839999999999995</v>
      </c>
      <c r="AH8" s="64">
        <v>0.9</v>
      </c>
    </row>
    <row r="9" spans="1:38" ht="14.5" thickBot="1" x14ac:dyDescent="0.35">
      <c r="C9" s="74"/>
      <c r="D9" s="75"/>
      <c r="E9" s="75"/>
      <c r="F9" s="75"/>
      <c r="G9" s="75"/>
      <c r="H9" s="75"/>
      <c r="I9" s="76"/>
      <c r="K9" s="74"/>
      <c r="L9" s="75"/>
      <c r="M9" s="75"/>
      <c r="N9" s="75"/>
      <c r="O9" s="75"/>
      <c r="P9" s="75"/>
      <c r="Q9" s="76"/>
      <c r="S9" s="74"/>
      <c r="T9" s="75"/>
      <c r="U9" s="75"/>
      <c r="V9" s="75"/>
      <c r="W9" s="75"/>
      <c r="X9" s="75"/>
      <c r="Y9" s="76"/>
      <c r="AB9" t="s">
        <v>39</v>
      </c>
      <c r="AE9" t="s">
        <v>57</v>
      </c>
      <c r="AG9" t="s">
        <v>58</v>
      </c>
    </row>
    <row r="10" spans="1:38" ht="14.5" thickBot="1" x14ac:dyDescent="0.35">
      <c r="B10" t="s">
        <v>50</v>
      </c>
      <c r="D10" s="81">
        <v>4.34</v>
      </c>
      <c r="E10" s="23"/>
      <c r="F10" s="81">
        <v>-5.8800000000000008</v>
      </c>
      <c r="J10" t="s">
        <v>54</v>
      </c>
      <c r="L10" s="53">
        <v>-1.6779999999999999</v>
      </c>
      <c r="M10" s="54"/>
      <c r="N10" s="55">
        <v>0.6839999999999995</v>
      </c>
      <c r="S10" t="s">
        <v>58</v>
      </c>
      <c r="T10" s="88">
        <v>2.0099999999999998</v>
      </c>
      <c r="W10" s="88">
        <v>-1.59</v>
      </c>
      <c r="AB10" s="64">
        <v>1</v>
      </c>
      <c r="AC10" s="64">
        <v>-0.5</v>
      </c>
      <c r="AD10" s="40">
        <v>-1.48</v>
      </c>
      <c r="AE10" s="82">
        <f t="array" ref="AE10:AE11">MMULT(AB10:AC11,AD10:AD11)</f>
        <v>-1.33</v>
      </c>
      <c r="AG10" s="88">
        <v>2.0099999999999998</v>
      </c>
    </row>
    <row r="11" spans="1:38" x14ac:dyDescent="0.3">
      <c r="B11" t="s">
        <v>51</v>
      </c>
      <c r="D11" s="64">
        <v>-2.9</v>
      </c>
      <c r="E11" s="23"/>
      <c r="F11" s="64">
        <v>-1.3</v>
      </c>
      <c r="J11" t="s">
        <v>55</v>
      </c>
      <c r="L11" s="64">
        <v>1.1000000000000001</v>
      </c>
      <c r="M11" s="23"/>
      <c r="N11" s="64">
        <v>0.9</v>
      </c>
      <c r="S11" t="s">
        <v>59</v>
      </c>
      <c r="T11" s="87">
        <v>-1.33</v>
      </c>
      <c r="W11" s="87">
        <v>-0.92</v>
      </c>
      <c r="AB11" s="64">
        <v>0.6</v>
      </c>
      <c r="AC11" s="64">
        <v>0.1</v>
      </c>
      <c r="AD11" s="40">
        <v>-0.30000000000000004</v>
      </c>
      <c r="AE11" s="82">
        <v>-0.91800000000000004</v>
      </c>
      <c r="AG11" s="88">
        <v>-1.5899999999999996</v>
      </c>
    </row>
    <row r="12" spans="1:38" x14ac:dyDescent="0.3">
      <c r="D12" s="40">
        <f>D14+D16</f>
        <v>-2.38</v>
      </c>
      <c r="G12" s="40">
        <f>G14+G16</f>
        <v>1.1000000000000001</v>
      </c>
      <c r="L12" s="40">
        <f>L14+L16</f>
        <v>1.45</v>
      </c>
      <c r="O12" s="40">
        <f>O14+O16</f>
        <v>0.71000000000000008</v>
      </c>
      <c r="T12" s="40">
        <f>T14+T16</f>
        <v>-1.48</v>
      </c>
      <c r="W12" s="40">
        <f>W14+W16</f>
        <v>-0.31999999999999995</v>
      </c>
    </row>
    <row r="13" spans="1:38" ht="14.15" customHeight="1" x14ac:dyDescent="0.3">
      <c r="D13" s="27" t="s">
        <v>17</v>
      </c>
      <c r="G13" s="27" t="s">
        <v>17</v>
      </c>
      <c r="L13" s="27" t="s">
        <v>17</v>
      </c>
      <c r="O13" s="27" t="s">
        <v>17</v>
      </c>
      <c r="T13" s="27" t="s">
        <v>17</v>
      </c>
      <c r="Y13" s="83"/>
      <c r="AE13" t="s">
        <v>60</v>
      </c>
    </row>
    <row r="14" spans="1:38" x14ac:dyDescent="0.3">
      <c r="C14" s="35" t="s">
        <v>19</v>
      </c>
      <c r="D14" s="37">
        <v>0</v>
      </c>
      <c r="E14" s="23"/>
      <c r="F14" s="23"/>
      <c r="G14" s="38">
        <v>1</v>
      </c>
      <c r="H14" s="23" t="s">
        <v>20</v>
      </c>
      <c r="I14" s="23"/>
      <c r="J14" s="23"/>
      <c r="K14" s="23" t="s">
        <v>19</v>
      </c>
      <c r="L14" s="37">
        <v>0.84</v>
      </c>
      <c r="M14" s="23"/>
      <c r="N14" s="23"/>
      <c r="O14" s="38">
        <v>0.54</v>
      </c>
      <c r="S14" t="s">
        <v>19</v>
      </c>
      <c r="T14" s="37">
        <v>0.9</v>
      </c>
      <c r="U14" s="23"/>
      <c r="V14" s="23" t="s">
        <v>20</v>
      </c>
      <c r="W14" s="38">
        <v>-0.42</v>
      </c>
      <c r="Y14" t="s">
        <v>61</v>
      </c>
      <c r="AA14" s="84">
        <f>SUMPRODUCT(AE4:AE5,AE7:AE8)</f>
        <v>5.6818199999999983</v>
      </c>
      <c r="AD14" s="86">
        <f>EXP(AA14)/(EXP($AA$14)+EXP($AA$15)+EXP($AA$16))</f>
        <v>4.1478245118066698E-5</v>
      </c>
    </row>
    <row r="15" spans="1:38" ht="14.5" thickBot="1" x14ac:dyDescent="0.35">
      <c r="D15" s="27" t="s">
        <v>21</v>
      </c>
      <c r="E15" s="23"/>
      <c r="F15" s="23"/>
      <c r="G15" s="27" t="s">
        <v>21</v>
      </c>
      <c r="L15" s="27" t="s">
        <v>21</v>
      </c>
      <c r="M15" s="23"/>
      <c r="N15" s="23"/>
      <c r="O15" s="27" t="s">
        <v>21</v>
      </c>
      <c r="T15" s="27" t="s">
        <v>21</v>
      </c>
      <c r="U15" s="27"/>
      <c r="V15" s="23"/>
      <c r="W15" s="27" t="s">
        <v>21</v>
      </c>
      <c r="Y15" t="s">
        <v>62</v>
      </c>
      <c r="AA15" s="85">
        <f>SUMPRODUCT(AE4:AE5,AG4:AG5)</f>
        <v>15.772120000000001</v>
      </c>
      <c r="AC15" t="s">
        <v>23</v>
      </c>
      <c r="AD15" s="86">
        <f t="shared" ref="AD15:AD16" si="0">EXP(AA15)/(EXP($AA$14)+EXP($AA$15)+EXP($AA$16))</f>
        <v>0.99995851866205865</v>
      </c>
    </row>
    <row r="16" spans="1:38" ht="15" thickTop="1" thickBot="1" x14ac:dyDescent="0.35">
      <c r="D16" s="39">
        <v>-2.38</v>
      </c>
      <c r="E16" s="23"/>
      <c r="F16" s="23"/>
      <c r="G16" s="39">
        <v>0.1</v>
      </c>
      <c r="L16" s="39">
        <v>0.61</v>
      </c>
      <c r="M16" s="23"/>
      <c r="N16" s="23"/>
      <c r="O16" s="39">
        <v>0.17</v>
      </c>
      <c r="T16" s="25">
        <v>-2.38</v>
      </c>
      <c r="W16" s="26">
        <v>0.1</v>
      </c>
      <c r="Y16" t="s">
        <v>63</v>
      </c>
      <c r="AA16" s="85">
        <f>SUMPRODUCT(AE4:AE5,AG7:AG8)</f>
        <v>-3.8220199999999993</v>
      </c>
      <c r="AD16" s="86">
        <f t="shared" si="0"/>
        <v>3.0928232742616973E-9</v>
      </c>
    </row>
    <row r="17" spans="3:41" ht="14.5" thickTop="1" x14ac:dyDescent="0.3">
      <c r="D17" s="27" t="s">
        <v>21</v>
      </c>
      <c r="E17" s="27"/>
      <c r="F17" s="23"/>
      <c r="G17" s="27" t="s">
        <v>21</v>
      </c>
      <c r="L17" s="27" t="s">
        <v>21</v>
      </c>
      <c r="M17" s="27"/>
      <c r="N17" s="23"/>
      <c r="O17" s="27" t="s">
        <v>21</v>
      </c>
      <c r="T17" s="27" t="s">
        <v>21</v>
      </c>
      <c r="U17" s="27"/>
      <c r="V17" s="23"/>
      <c r="W17" s="27" t="s">
        <v>21</v>
      </c>
    </row>
    <row r="18" spans="3:41" ht="14.5" thickBot="1" x14ac:dyDescent="0.35">
      <c r="Y18" s="83"/>
      <c r="AD18" s="23"/>
    </row>
    <row r="19" spans="3:41" ht="15" thickTop="1" thickBot="1" x14ac:dyDescent="0.35">
      <c r="D19" s="28"/>
      <c r="G19" s="28"/>
      <c r="L19" s="28"/>
      <c r="O19" s="28"/>
      <c r="T19" s="28"/>
      <c r="W19" s="28"/>
      <c r="Y19" s="83"/>
      <c r="AB19" s="63"/>
      <c r="AC19" s="49"/>
      <c r="AD19" s="100"/>
      <c r="AE19" s="12"/>
    </row>
    <row r="20" spans="3:41" ht="14.5" thickTop="1" x14ac:dyDescent="0.3">
      <c r="Y20" s="83"/>
      <c r="AB20" s="64"/>
      <c r="AC20" s="49"/>
      <c r="AD20" s="100"/>
      <c r="AE20" s="12"/>
      <c r="AH20" s="81"/>
      <c r="AI20" s="12"/>
      <c r="AL20" s="101"/>
      <c r="AN20" s="80"/>
      <c r="AO20" s="80"/>
    </row>
    <row r="21" spans="3:41" x14ac:dyDescent="0.3">
      <c r="Y21" s="83"/>
      <c r="AH21" s="81"/>
      <c r="AI21" s="12"/>
      <c r="AL21" s="101"/>
      <c r="AN21" s="23"/>
      <c r="AO21" s="23"/>
    </row>
    <row r="22" spans="3:41" x14ac:dyDescent="0.3">
      <c r="AB22" s="63"/>
      <c r="AC22" s="49"/>
      <c r="AD22" s="100"/>
      <c r="AE22" s="88"/>
      <c r="AL22" s="101"/>
      <c r="AN22" s="102"/>
      <c r="AO22" s="102"/>
    </row>
    <row r="23" spans="3:41" ht="14.5" thickBot="1" x14ac:dyDescent="0.35">
      <c r="C23" s="29"/>
      <c r="D23" s="30">
        <v>1</v>
      </c>
      <c r="E23" s="31">
        <v>0</v>
      </c>
      <c r="F23" s="31">
        <v>0</v>
      </c>
      <c r="G23" s="31">
        <v>0</v>
      </c>
      <c r="K23" s="29"/>
      <c r="L23" s="32">
        <v>0</v>
      </c>
      <c r="M23" s="30">
        <v>1</v>
      </c>
      <c r="N23" s="31">
        <v>0</v>
      </c>
      <c r="O23" s="31">
        <v>0</v>
      </c>
      <c r="S23" s="29"/>
      <c r="T23" s="32">
        <v>0</v>
      </c>
      <c r="U23" s="31">
        <v>0</v>
      </c>
      <c r="V23" s="33">
        <v>1</v>
      </c>
      <c r="W23" s="31">
        <v>0</v>
      </c>
      <c r="AB23" s="63"/>
      <c r="AC23" s="49"/>
      <c r="AD23" s="100"/>
      <c r="AE23" s="88"/>
      <c r="AH23" s="53"/>
      <c r="AI23" s="12"/>
      <c r="AL23" s="101"/>
    </row>
    <row r="24" spans="3:41" ht="14.5" thickBot="1" x14ac:dyDescent="0.35">
      <c r="D24" t="s">
        <v>3</v>
      </c>
      <c r="M24" t="s">
        <v>4</v>
      </c>
      <c r="V24" t="s">
        <v>5</v>
      </c>
      <c r="AH24" s="55"/>
      <c r="AI24" s="12"/>
      <c r="AL24" s="101"/>
    </row>
    <row r="25" spans="3:41" x14ac:dyDescent="0.3">
      <c r="AB25" s="64"/>
      <c r="AC25" s="64"/>
      <c r="AD25" s="23"/>
      <c r="AE25" s="82"/>
      <c r="AL25" s="101"/>
    </row>
    <row r="26" spans="3:41" x14ac:dyDescent="0.3">
      <c r="AB26" s="64"/>
      <c r="AC26" s="64"/>
      <c r="AD26" s="23"/>
      <c r="AE26" s="82"/>
      <c r="AH26" s="88"/>
      <c r="AI26" s="12"/>
      <c r="AL26" s="101"/>
    </row>
    <row r="27" spans="3:41" x14ac:dyDescent="0.3">
      <c r="AH27" s="88"/>
      <c r="AI27" s="12"/>
      <c r="AL27" s="101"/>
    </row>
    <row r="28" spans="3:41" x14ac:dyDescent="0.3">
      <c r="AA28" s="35"/>
      <c r="AL28" s="101"/>
    </row>
    <row r="29" spans="3:41" x14ac:dyDescent="0.3">
      <c r="AH29" s="88"/>
      <c r="AI29" s="12"/>
      <c r="AL29" s="101"/>
    </row>
    <row r="30" spans="3:41" x14ac:dyDescent="0.3">
      <c r="AH30" s="88">
        <v>12.906000000000001</v>
      </c>
      <c r="AI30" s="12">
        <v>-9.863999999999999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F097-CDC0-47A5-8EFA-793F72B2B5D6}">
  <dimension ref="A1:AS30"/>
  <sheetViews>
    <sheetView topLeftCell="S1" zoomScale="96" zoomScaleNormal="96" workbookViewId="0">
      <selection activeCell="V4" sqref="V4"/>
    </sheetView>
  </sheetViews>
  <sheetFormatPr defaultRowHeight="14" x14ac:dyDescent="0.3"/>
  <cols>
    <col min="9" max="10" width="4.81640625" customWidth="1"/>
    <col min="11" max="11" width="4" customWidth="1"/>
    <col min="12" max="12" width="8.54296875" customWidth="1"/>
    <col min="17" max="17" width="5.26953125" customWidth="1"/>
    <col min="26" max="26" width="11.81640625" customWidth="1"/>
    <col min="27" max="27" width="9.81640625" customWidth="1"/>
    <col min="30" max="30" width="10.1796875" customWidth="1"/>
    <col min="32" max="32" width="6.1796875" customWidth="1"/>
  </cols>
  <sheetData>
    <row r="1" spans="1:38" x14ac:dyDescent="0.3">
      <c r="A1" t="s">
        <v>46</v>
      </c>
      <c r="E1" s="90">
        <f>E4+D12</f>
        <v>-5.2799999999999994</v>
      </c>
      <c r="G1" s="90">
        <f>G4+G12</f>
        <v>-0.19999999999999996</v>
      </c>
      <c r="M1" s="90">
        <f>M4+L12</f>
        <v>2.5499999999999998</v>
      </c>
      <c r="O1" s="90">
        <f>O4+O12</f>
        <v>1.61</v>
      </c>
      <c r="T1" s="90">
        <f>T4+T12</f>
        <v>-4.38</v>
      </c>
      <c r="V1" s="91">
        <f>V4+W12</f>
        <v>-1.62</v>
      </c>
    </row>
    <row r="3" spans="1:38" x14ac:dyDescent="0.3">
      <c r="A3" t="s">
        <v>48</v>
      </c>
      <c r="AB3" t="s">
        <v>44</v>
      </c>
      <c r="AD3" t="s">
        <v>16</v>
      </c>
      <c r="AE3" t="s">
        <v>49</v>
      </c>
      <c r="AG3" t="s">
        <v>50</v>
      </c>
      <c r="AH3" t="s">
        <v>51</v>
      </c>
    </row>
    <row r="4" spans="1:38" x14ac:dyDescent="0.3">
      <c r="A4" t="s">
        <v>52</v>
      </c>
      <c r="E4" s="80">
        <v>-2.9</v>
      </c>
      <c r="F4" s="23"/>
      <c r="G4" s="80">
        <v>-1.3</v>
      </c>
      <c r="H4" s="23"/>
      <c r="I4" s="23"/>
      <c r="J4" s="23"/>
      <c r="K4" s="23"/>
      <c r="L4" s="23"/>
      <c r="M4" s="80">
        <v>1.1000000000000001</v>
      </c>
      <c r="N4" s="23"/>
      <c r="O4" s="80">
        <v>0.9</v>
      </c>
      <c r="T4" s="80">
        <v>-2.9</v>
      </c>
      <c r="U4" s="23"/>
      <c r="V4" s="80">
        <v>-1.3</v>
      </c>
      <c r="AB4" s="63">
        <v>-0.8</v>
      </c>
      <c r="AC4" s="49">
        <v>-1.7</v>
      </c>
      <c r="AD4" s="40">
        <v>-1.48</v>
      </c>
      <c r="AE4" s="12">
        <f t="array" ref="AE4:AE5">MMULT(AB4:AC5,AD4:AD5)</f>
        <v>1.694</v>
      </c>
      <c r="AG4" s="81">
        <v>4.34</v>
      </c>
      <c r="AH4" s="64">
        <v>-2.9</v>
      </c>
      <c r="AI4" s="23"/>
    </row>
    <row r="5" spans="1:38" ht="14.5" thickBot="1" x14ac:dyDescent="0.35">
      <c r="AB5" s="64">
        <v>0.4</v>
      </c>
      <c r="AC5" s="49">
        <v>2.8</v>
      </c>
      <c r="AD5" s="40">
        <v>-0.30000000000000004</v>
      </c>
      <c r="AE5" s="12">
        <v>-1.4319999999999999</v>
      </c>
      <c r="AG5" s="81">
        <v>-5.8800000000000008</v>
      </c>
      <c r="AH5" s="64">
        <v>-1.3</v>
      </c>
      <c r="AI5" s="23"/>
      <c r="AK5" s="23"/>
      <c r="AL5" s="23"/>
    </row>
    <row r="6" spans="1:38" x14ac:dyDescent="0.3">
      <c r="C6" s="69"/>
      <c r="D6" s="70"/>
      <c r="E6" s="70"/>
      <c r="F6" s="70"/>
      <c r="G6" s="70"/>
      <c r="H6" s="70"/>
      <c r="I6" s="71"/>
      <c r="K6" s="69"/>
      <c r="L6" s="70"/>
      <c r="M6" s="70"/>
      <c r="N6" s="70"/>
      <c r="O6" s="70"/>
      <c r="P6" s="70"/>
      <c r="Q6" s="71"/>
      <c r="S6" s="69"/>
      <c r="T6" s="70"/>
      <c r="U6" s="70"/>
      <c r="V6" s="70"/>
      <c r="W6" s="70"/>
      <c r="X6" s="70"/>
      <c r="Y6" s="71"/>
      <c r="AB6" t="s">
        <v>33</v>
      </c>
      <c r="AE6" t="s">
        <v>53</v>
      </c>
      <c r="AG6" t="s">
        <v>54</v>
      </c>
      <c r="AH6" t="s">
        <v>55</v>
      </c>
    </row>
    <row r="7" spans="1:38" ht="14.5" thickBot="1" x14ac:dyDescent="0.35">
      <c r="C7" s="72"/>
      <c r="D7" s="77" t="s">
        <v>32</v>
      </c>
      <c r="F7" s="78" t="s">
        <v>34</v>
      </c>
      <c r="H7" s="79" t="s">
        <v>56</v>
      </c>
      <c r="I7" s="73"/>
      <c r="K7" s="72"/>
      <c r="L7" s="77" t="s">
        <v>32</v>
      </c>
      <c r="N7" s="78" t="s">
        <v>34</v>
      </c>
      <c r="P7" s="79" t="s">
        <v>56</v>
      </c>
      <c r="Q7" s="73"/>
      <c r="S7" s="72"/>
      <c r="T7" s="77" t="s">
        <v>32</v>
      </c>
      <c r="V7" s="78" t="s">
        <v>34</v>
      </c>
      <c r="X7" s="79" t="s">
        <v>56</v>
      </c>
      <c r="Y7" s="73"/>
      <c r="AB7" s="63">
        <v>-1.5</v>
      </c>
      <c r="AC7" s="49">
        <v>0.7</v>
      </c>
      <c r="AD7" s="40">
        <v>-1.48</v>
      </c>
      <c r="AE7" s="62">
        <f t="array" ref="AE7:AE8">MMULT(AB7:AC8,AD7:AD8)</f>
        <v>2.0099999999999998</v>
      </c>
      <c r="AG7" s="53">
        <v>-1.6779999999999999</v>
      </c>
      <c r="AH7" s="64">
        <v>1.1000000000000001</v>
      </c>
    </row>
    <row r="8" spans="1:38" ht="14.5" thickBot="1" x14ac:dyDescent="0.35">
      <c r="C8" s="72"/>
      <c r="D8" s="77"/>
      <c r="F8" s="78"/>
      <c r="H8" s="79"/>
      <c r="I8" s="73"/>
      <c r="K8" s="72"/>
      <c r="L8" s="77"/>
      <c r="N8" s="78"/>
      <c r="P8" s="79"/>
      <c r="Q8" s="73"/>
      <c r="S8" s="72"/>
      <c r="T8" s="77"/>
      <c r="V8" s="78"/>
      <c r="X8" s="79"/>
      <c r="Y8" s="73"/>
      <c r="AB8" s="63">
        <v>1.5</v>
      </c>
      <c r="AC8" s="49">
        <v>-2.1</v>
      </c>
      <c r="AD8" s="40">
        <v>-0.30000000000000004</v>
      </c>
      <c r="AE8" s="62">
        <v>-1.5899999999999996</v>
      </c>
      <c r="AG8" s="55">
        <v>0.6839999999999995</v>
      </c>
      <c r="AH8" s="64">
        <v>0.9</v>
      </c>
    </row>
    <row r="9" spans="1:38" ht="14.5" thickBot="1" x14ac:dyDescent="0.35">
      <c r="C9" s="74"/>
      <c r="D9" s="75"/>
      <c r="E9" s="75"/>
      <c r="F9" s="75"/>
      <c r="G9" s="75"/>
      <c r="H9" s="75"/>
      <c r="I9" s="76"/>
      <c r="K9" s="74"/>
      <c r="L9" s="75"/>
      <c r="M9" s="75"/>
      <c r="N9" s="75"/>
      <c r="O9" s="75"/>
      <c r="P9" s="75"/>
      <c r="Q9" s="76"/>
      <c r="S9" s="74"/>
      <c r="T9" s="75"/>
      <c r="U9" s="75"/>
      <c r="V9" s="75"/>
      <c r="W9" s="75"/>
      <c r="X9" s="75"/>
      <c r="Y9" s="76"/>
      <c r="AB9" t="s">
        <v>39</v>
      </c>
      <c r="AE9" t="s">
        <v>57</v>
      </c>
      <c r="AG9" t="s">
        <v>58</v>
      </c>
    </row>
    <row r="10" spans="1:38" ht="14.5" thickBot="1" x14ac:dyDescent="0.35">
      <c r="B10" t="s">
        <v>50</v>
      </c>
      <c r="D10" s="81">
        <v>4.34</v>
      </c>
      <c r="E10" s="23"/>
      <c r="F10" s="81">
        <v>-5.8800000000000008</v>
      </c>
      <c r="J10" t="s">
        <v>54</v>
      </c>
      <c r="L10" s="53">
        <v>-1.6779999999999999</v>
      </c>
      <c r="M10" s="54"/>
      <c r="N10" s="55">
        <v>0.6839999999999995</v>
      </c>
      <c r="S10" t="s">
        <v>58</v>
      </c>
      <c r="T10" s="88">
        <v>2.0099999999999998</v>
      </c>
      <c r="W10" s="88">
        <v>-1.59</v>
      </c>
      <c r="AB10" s="64">
        <v>1</v>
      </c>
      <c r="AC10" s="64">
        <v>-0.5</v>
      </c>
      <c r="AD10" s="40">
        <v>-1.48</v>
      </c>
      <c r="AE10" s="82">
        <f t="array" ref="AE10:AE11">MMULT(AB10:AC11,AD10:AD11)</f>
        <v>-1.33</v>
      </c>
      <c r="AG10" s="88">
        <v>2.0099999999999998</v>
      </c>
    </row>
    <row r="11" spans="1:38" x14ac:dyDescent="0.3">
      <c r="B11" t="s">
        <v>51</v>
      </c>
      <c r="D11" s="64">
        <v>-2.9</v>
      </c>
      <c r="E11" s="23"/>
      <c r="F11" s="64">
        <v>-1.3</v>
      </c>
      <c r="J11" t="s">
        <v>55</v>
      </c>
      <c r="L11" s="64">
        <v>1.1000000000000001</v>
      </c>
      <c r="M11" s="23"/>
      <c r="N11" s="64">
        <v>0.9</v>
      </c>
      <c r="S11" t="s">
        <v>59</v>
      </c>
      <c r="T11" s="87">
        <v>-1.33</v>
      </c>
      <c r="W11" s="87">
        <v>-0.92</v>
      </c>
      <c r="AB11" s="64">
        <v>0.6</v>
      </c>
      <c r="AC11" s="64">
        <v>0.1</v>
      </c>
      <c r="AD11" s="40">
        <v>-0.30000000000000004</v>
      </c>
      <c r="AE11" s="82">
        <v>-0.91800000000000004</v>
      </c>
      <c r="AG11" s="88">
        <v>-1.5899999999999996</v>
      </c>
    </row>
    <row r="12" spans="1:38" x14ac:dyDescent="0.3">
      <c r="D12" s="40">
        <f>D14+D16</f>
        <v>-2.38</v>
      </c>
      <c r="G12" s="40">
        <f>G14+G16</f>
        <v>1.1000000000000001</v>
      </c>
      <c r="L12" s="40">
        <f>L14+L16</f>
        <v>1.45</v>
      </c>
      <c r="O12" s="40">
        <f>O14+O16</f>
        <v>0.71000000000000008</v>
      </c>
      <c r="T12" s="40">
        <f>T14+T16</f>
        <v>-1.48</v>
      </c>
      <c r="W12" s="40">
        <f>W14+W16</f>
        <v>-0.31999999999999995</v>
      </c>
    </row>
    <row r="13" spans="1:38" ht="14.15" customHeight="1" x14ac:dyDescent="0.3">
      <c r="D13" s="27" t="s">
        <v>17</v>
      </c>
      <c r="G13" s="27" t="s">
        <v>17</v>
      </c>
      <c r="L13" s="27" t="s">
        <v>17</v>
      </c>
      <c r="O13" s="27" t="s">
        <v>17</v>
      </c>
      <c r="T13" s="27" t="s">
        <v>17</v>
      </c>
      <c r="Y13" s="83"/>
      <c r="AE13" t="s">
        <v>60</v>
      </c>
    </row>
    <row r="14" spans="1:38" x14ac:dyDescent="0.3">
      <c r="C14" s="35" t="s">
        <v>19</v>
      </c>
      <c r="D14" s="37">
        <v>0</v>
      </c>
      <c r="E14" s="23"/>
      <c r="F14" s="23"/>
      <c r="G14" s="38">
        <v>1</v>
      </c>
      <c r="H14" s="23" t="s">
        <v>20</v>
      </c>
      <c r="I14" s="23"/>
      <c r="J14" s="23"/>
      <c r="K14" s="23" t="s">
        <v>19</v>
      </c>
      <c r="L14" s="37">
        <v>0.84</v>
      </c>
      <c r="M14" s="23"/>
      <c r="N14" s="23"/>
      <c r="O14" s="38">
        <v>0.54</v>
      </c>
      <c r="S14" t="s">
        <v>19</v>
      </c>
      <c r="T14" s="37">
        <v>0.9</v>
      </c>
      <c r="U14" s="23"/>
      <c r="V14" s="23" t="s">
        <v>20</v>
      </c>
      <c r="W14" s="38">
        <v>-0.42</v>
      </c>
      <c r="Y14" t="s">
        <v>61</v>
      </c>
      <c r="AA14" s="84">
        <f>SUMPRODUCT(AE4:AE5,AE7:AE8)</f>
        <v>5.6818199999999983</v>
      </c>
      <c r="AD14" s="86">
        <f>EXP(AA14)/(EXP($AA$14)+EXP($AA$15)+EXP($AA$16))</f>
        <v>4.1478245118066698E-5</v>
      </c>
    </row>
    <row r="15" spans="1:38" ht="14.5" thickBot="1" x14ac:dyDescent="0.35">
      <c r="D15" s="27" t="s">
        <v>21</v>
      </c>
      <c r="E15" s="23"/>
      <c r="F15" s="23"/>
      <c r="G15" s="27" t="s">
        <v>21</v>
      </c>
      <c r="L15" s="27" t="s">
        <v>21</v>
      </c>
      <c r="M15" s="23"/>
      <c r="N15" s="23"/>
      <c r="O15" s="27" t="s">
        <v>21</v>
      </c>
      <c r="T15" s="27" t="s">
        <v>21</v>
      </c>
      <c r="U15" s="27"/>
      <c r="V15" s="23"/>
      <c r="W15" s="27" t="s">
        <v>21</v>
      </c>
      <c r="Y15" t="s">
        <v>62</v>
      </c>
      <c r="AA15" s="85">
        <f>SUMPRODUCT(AE4:AE5,AG4:AG5)</f>
        <v>15.772120000000001</v>
      </c>
      <c r="AC15" t="s">
        <v>23</v>
      </c>
      <c r="AD15" s="86">
        <f t="shared" ref="AD15:AD16" si="0">EXP(AA15)/(EXP($AA$14)+EXP($AA$15)+EXP($AA$16))</f>
        <v>0.99995851866205865</v>
      </c>
    </row>
    <row r="16" spans="1:38" ht="15" thickTop="1" thickBot="1" x14ac:dyDescent="0.35">
      <c r="D16" s="39">
        <v>-2.38</v>
      </c>
      <c r="E16" s="23"/>
      <c r="F16" s="23"/>
      <c r="G16" s="39">
        <v>0.1</v>
      </c>
      <c r="L16" s="39">
        <v>0.61</v>
      </c>
      <c r="M16" s="23"/>
      <c r="N16" s="23"/>
      <c r="O16" s="39">
        <v>0.17</v>
      </c>
      <c r="T16" s="25">
        <v>-2.38</v>
      </c>
      <c r="W16" s="26">
        <v>0.1</v>
      </c>
      <c r="Y16" t="s">
        <v>63</v>
      </c>
      <c r="AA16" s="85">
        <f>SUMPRODUCT(AE4:AE5,AG7:AG8)</f>
        <v>-3.8220199999999993</v>
      </c>
      <c r="AD16" s="86">
        <f t="shared" si="0"/>
        <v>3.0928232742616973E-9</v>
      </c>
      <c r="AI16" t="s">
        <v>64</v>
      </c>
    </row>
    <row r="17" spans="3:45" ht="14.5" thickTop="1" x14ac:dyDescent="0.3">
      <c r="D17" s="27" t="s">
        <v>21</v>
      </c>
      <c r="E17" s="27"/>
      <c r="F17" s="23"/>
      <c r="G17" s="27" t="s">
        <v>21</v>
      </c>
      <c r="L17" s="27" t="s">
        <v>21</v>
      </c>
      <c r="M17" s="27"/>
      <c r="N17" s="23"/>
      <c r="O17" s="27" t="s">
        <v>21</v>
      </c>
      <c r="T17" s="27" t="s">
        <v>21</v>
      </c>
      <c r="U17" s="27"/>
      <c r="V17" s="23"/>
      <c r="W17" s="27" t="s">
        <v>21</v>
      </c>
      <c r="AG17" t="s">
        <v>65</v>
      </c>
      <c r="AI17" t="s">
        <v>66</v>
      </c>
    </row>
    <row r="18" spans="3:45" ht="14.5" thickBot="1" x14ac:dyDescent="0.35">
      <c r="Y18" s="83"/>
      <c r="AB18" t="s">
        <v>44</v>
      </c>
      <c r="AD18" s="23" t="s">
        <v>67</v>
      </c>
      <c r="AE18" t="s">
        <v>68</v>
      </c>
      <c r="AM18" t="s">
        <v>69</v>
      </c>
    </row>
    <row r="19" spans="3:45" ht="15" thickTop="1" thickBot="1" x14ac:dyDescent="0.35">
      <c r="D19" s="28"/>
      <c r="G19" s="28"/>
      <c r="L19" s="28"/>
      <c r="O19" s="28"/>
      <c r="T19" s="28"/>
      <c r="W19" s="28"/>
      <c r="Y19" s="83"/>
      <c r="AB19" s="63">
        <v>-0.8</v>
      </c>
      <c r="AC19" s="49">
        <v>-1.7</v>
      </c>
      <c r="AD19" s="100">
        <v>3.06</v>
      </c>
      <c r="AE19" s="12">
        <f t="array" ref="AE19:AE20">MMULT(AB19:AC20,AD19:AD20)</f>
        <v>4.2839999999999998</v>
      </c>
      <c r="AH19" t="s">
        <v>50</v>
      </c>
      <c r="AI19" t="s">
        <v>68</v>
      </c>
    </row>
    <row r="20" spans="3:45" ht="14.5" thickTop="1" x14ac:dyDescent="0.3">
      <c r="Y20" s="83"/>
      <c r="AB20" s="64">
        <v>0.4</v>
      </c>
      <c r="AC20" s="49">
        <v>2.8</v>
      </c>
      <c r="AD20" s="100">
        <v>-3.96</v>
      </c>
      <c r="AE20" s="12">
        <v>-9.863999999999999</v>
      </c>
      <c r="AH20" s="81">
        <v>4.34</v>
      </c>
      <c r="AI20" s="12">
        <v>4.2839999999999998</v>
      </c>
      <c r="AJ20">
        <f>SUMPRODUCT(AH20:AH21,AI20:AI21)</f>
        <v>76.592880000000008</v>
      </c>
      <c r="AL20" s="101">
        <f>EXP(AJ20)/(EXP($AJ$20)+EXP($AJ$23)+EXP($AJ$26)+EXP($AJ$29))</f>
        <v>1</v>
      </c>
      <c r="AN20" s="80">
        <v>-2.9</v>
      </c>
      <c r="AO20" s="80">
        <v>-1.3</v>
      </c>
      <c r="AP20" t="s">
        <v>70</v>
      </c>
    </row>
    <row r="21" spans="3:45" x14ac:dyDescent="0.3">
      <c r="Y21" s="83"/>
      <c r="AB21" t="s">
        <v>33</v>
      </c>
      <c r="AE21" t="s">
        <v>71</v>
      </c>
      <c r="AH21" s="81">
        <v>-5.8800000000000008</v>
      </c>
      <c r="AI21" s="12">
        <v>-9.863999999999999</v>
      </c>
      <c r="AL21" s="101"/>
      <c r="AN21" s="23">
        <v>3.06</v>
      </c>
      <c r="AO21" s="23">
        <v>-3.86</v>
      </c>
    </row>
    <row r="22" spans="3:45" x14ac:dyDescent="0.3">
      <c r="AB22" s="63">
        <v>-1.5</v>
      </c>
      <c r="AC22" s="49">
        <v>0.7</v>
      </c>
      <c r="AD22" s="100">
        <v>3.06</v>
      </c>
      <c r="AE22" s="88">
        <f t="array" ref="AE22:AE23">MMULT(AB22:AC23,AD22:AD23)</f>
        <v>-7.3620000000000001</v>
      </c>
      <c r="AH22" t="s">
        <v>54</v>
      </c>
      <c r="AI22" t="s">
        <v>68</v>
      </c>
      <c r="AL22" s="101"/>
      <c r="AN22" s="102">
        <f>SUM(AN20:AN21)</f>
        <v>0.16000000000000014</v>
      </c>
      <c r="AO22" s="102">
        <f>SUM(AO20:AO21)</f>
        <v>-5.16</v>
      </c>
      <c r="AP22" t="s">
        <v>72</v>
      </c>
      <c r="AS22" t="s">
        <v>73</v>
      </c>
    </row>
    <row r="23" spans="3:45" ht="14.5" thickBot="1" x14ac:dyDescent="0.35">
      <c r="C23" s="29"/>
      <c r="D23" s="30">
        <v>1</v>
      </c>
      <c r="E23" s="31">
        <v>0</v>
      </c>
      <c r="F23" s="31">
        <v>0</v>
      </c>
      <c r="G23" s="31">
        <v>0</v>
      </c>
      <c r="K23" s="29"/>
      <c r="L23" s="32">
        <v>0</v>
      </c>
      <c r="M23" s="30">
        <v>1</v>
      </c>
      <c r="N23" s="31">
        <v>0</v>
      </c>
      <c r="O23" s="31">
        <v>0</v>
      </c>
      <c r="S23" s="29"/>
      <c r="T23" s="32">
        <v>0</v>
      </c>
      <c r="U23" s="31">
        <v>0</v>
      </c>
      <c r="V23" s="33">
        <v>1</v>
      </c>
      <c r="W23" s="31">
        <v>0</v>
      </c>
      <c r="AB23" s="63">
        <v>1.5</v>
      </c>
      <c r="AC23" s="49">
        <v>-2.1</v>
      </c>
      <c r="AD23" s="100">
        <v>-3.96</v>
      </c>
      <c r="AE23" s="88">
        <v>12.906000000000001</v>
      </c>
      <c r="AH23" s="53">
        <v>-1.6779999999999999</v>
      </c>
      <c r="AI23" s="12">
        <v>4.2839999999999998</v>
      </c>
      <c r="AJ23">
        <f>SUMPRODUCT(AH23:AH24,AI23:AI24)</f>
        <v>-13.935527999999994</v>
      </c>
      <c r="AL23" s="101">
        <f>EXP(AJ23)/(EXP($AJ$20)+EXP($AJ$23)+EXP($AJ$26)+EXP($AJ$29))</f>
        <v>4.830720941429841E-40</v>
      </c>
    </row>
    <row r="24" spans="3:45" ht="14.5" thickBot="1" x14ac:dyDescent="0.35">
      <c r="D24" t="s">
        <v>3</v>
      </c>
      <c r="M24" t="s">
        <v>4</v>
      </c>
      <c r="V24" t="s">
        <v>5</v>
      </c>
      <c r="AB24" t="s">
        <v>39</v>
      </c>
      <c r="AE24" t="s">
        <v>74</v>
      </c>
      <c r="AH24" s="55">
        <v>0.6839999999999995</v>
      </c>
      <c r="AI24" s="12">
        <v>-9.863999999999999</v>
      </c>
      <c r="AL24" s="101"/>
    </row>
    <row r="25" spans="3:45" x14ac:dyDescent="0.3">
      <c r="AB25" s="64">
        <v>1</v>
      </c>
      <c r="AC25" s="64">
        <v>-0.5</v>
      </c>
      <c r="AD25" s="23">
        <v>3.06</v>
      </c>
      <c r="AE25" s="82">
        <f t="array" ref="AE25:AE26">MMULT(AB25:AC26,AD25:AD26)</f>
        <v>5.04</v>
      </c>
      <c r="AH25" t="s">
        <v>58</v>
      </c>
      <c r="AI25" t="s">
        <v>68</v>
      </c>
      <c r="AL25" s="101"/>
    </row>
    <row r="26" spans="3:45" x14ac:dyDescent="0.3">
      <c r="AB26" s="64">
        <v>0.6</v>
      </c>
      <c r="AC26" s="64">
        <v>0.1</v>
      </c>
      <c r="AD26" s="23">
        <v>-3.96</v>
      </c>
      <c r="AE26" s="82">
        <v>1.44</v>
      </c>
      <c r="AH26" s="88">
        <v>2.0099999999999998</v>
      </c>
      <c r="AI26" s="12">
        <v>4.2839999999999998</v>
      </c>
      <c r="AJ26">
        <f>SUMPRODUCT(AH26:AH27,AI26:AI27)</f>
        <v>24.294599999999992</v>
      </c>
      <c r="AL26" s="101">
        <f>EXP(AJ26)/(EXP($AJ$20)+EXP($AJ$23)+EXP($AJ$26)+EXP($AJ$29))</f>
        <v>1.9370711946550981E-23</v>
      </c>
    </row>
    <row r="27" spans="3:45" x14ac:dyDescent="0.3">
      <c r="AH27" s="88">
        <v>-1.5899999999999996</v>
      </c>
      <c r="AI27" s="12">
        <v>-9.863999999999999</v>
      </c>
      <c r="AL27" s="101"/>
    </row>
    <row r="28" spans="3:45" x14ac:dyDescent="0.3">
      <c r="AA28" s="35"/>
      <c r="AH28" t="s">
        <v>75</v>
      </c>
      <c r="AI28" t="s">
        <v>68</v>
      </c>
      <c r="AL28" s="101"/>
    </row>
    <row r="29" spans="3:45" x14ac:dyDescent="0.3">
      <c r="AH29" s="88">
        <v>-7.3620000000000001</v>
      </c>
      <c r="AI29" s="12">
        <v>4.2839999999999998</v>
      </c>
      <c r="AJ29">
        <f>SUMPRODUCT(AH29:AH30,AI29:AI30)</f>
        <v>-158.843592</v>
      </c>
      <c r="AL29" s="101">
        <f>EXP(AJ29)/(EXP($AJ$20)+EXP($AJ$23)+EXP($AJ$26)+EXP($AJ$29))</f>
        <v>5.6394840362271314E-103</v>
      </c>
    </row>
    <row r="30" spans="3:45" x14ac:dyDescent="0.3">
      <c r="AH30" s="88">
        <v>12.906000000000001</v>
      </c>
      <c r="AI30" s="12">
        <v>-9.863999999999999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0F49-CE1C-4477-A668-19B8E2BA1427}">
  <dimension ref="A1:L18"/>
  <sheetViews>
    <sheetView workbookViewId="0">
      <selection activeCell="D18" sqref="D18"/>
    </sheetView>
  </sheetViews>
  <sheetFormatPr defaultRowHeight="14" x14ac:dyDescent="0.3"/>
  <cols>
    <col min="11" max="11" width="11.1796875" bestFit="1" customWidth="1"/>
  </cols>
  <sheetData>
    <row r="1" spans="1:12" x14ac:dyDescent="0.3">
      <c r="D1" t="s">
        <v>76</v>
      </c>
    </row>
    <row r="3" spans="1:12" x14ac:dyDescent="0.3">
      <c r="D3" s="93">
        <v>1.5</v>
      </c>
      <c r="E3" s="93">
        <v>1.2</v>
      </c>
      <c r="G3" s="89">
        <f t="array" ref="G3:G7">MMULT(D3:E7,F4:F5)</f>
        <v>-5.952</v>
      </c>
      <c r="H3">
        <v>-0.2</v>
      </c>
      <c r="I3">
        <f>G3+H3</f>
        <v>-6.1520000000000001</v>
      </c>
      <c r="K3" s="95">
        <f>EXP(I3)/(EXP($I$3)+EXP($I$4)+EXP($I$5)+EXP($I$6)+EXP($I$7))</f>
        <v>2.7715173409882099E-10</v>
      </c>
      <c r="L3" t="s">
        <v>3</v>
      </c>
    </row>
    <row r="4" spans="1:12" x14ac:dyDescent="0.3">
      <c r="D4" s="93">
        <v>-2.5</v>
      </c>
      <c r="E4" s="93">
        <v>4.0999999999999996</v>
      </c>
      <c r="F4" s="94">
        <v>0.16</v>
      </c>
      <c r="G4" s="89">
        <v>-21.555999999999997</v>
      </c>
      <c r="H4">
        <v>-1.4</v>
      </c>
      <c r="I4">
        <f t="shared" ref="I4:I7" si="0">G4+H4</f>
        <v>-22.955999999999996</v>
      </c>
      <c r="K4" s="95">
        <f t="shared" ref="K4:K7" si="1">EXP(I4)/(EXP($I$3)+EXP($I$4)+EXP($I$5)+EXP($I$6)+EXP($I$7))</f>
        <v>1.3958319224672226E-17</v>
      </c>
      <c r="L4" t="s">
        <v>4</v>
      </c>
    </row>
    <row r="5" spans="1:12" x14ac:dyDescent="0.3">
      <c r="D5" s="93">
        <v>1.2</v>
      </c>
      <c r="E5" s="93">
        <v>1.6</v>
      </c>
      <c r="F5" s="94">
        <v>-5.16</v>
      </c>
      <c r="G5" s="89">
        <v>-8.0640000000000001</v>
      </c>
      <c r="H5">
        <v>-0.1</v>
      </c>
      <c r="I5">
        <f t="shared" si="0"/>
        <v>-8.1639999999999997</v>
      </c>
      <c r="J5" t="s">
        <v>23</v>
      </c>
      <c r="K5" s="95">
        <f t="shared" si="1"/>
        <v>3.7060997367892189E-11</v>
      </c>
      <c r="L5" t="s">
        <v>5</v>
      </c>
    </row>
    <row r="6" spans="1:12" x14ac:dyDescent="0.3">
      <c r="D6" s="93">
        <v>1.7</v>
      </c>
      <c r="E6" s="93">
        <v>-3</v>
      </c>
      <c r="G6" s="89">
        <v>15.752000000000001</v>
      </c>
      <c r="H6">
        <v>0.1</v>
      </c>
      <c r="I6">
        <f t="shared" si="0"/>
        <v>15.852</v>
      </c>
      <c r="K6" s="95">
        <f t="shared" si="1"/>
        <v>0.99754703027323144</v>
      </c>
      <c r="L6" t="s">
        <v>6</v>
      </c>
    </row>
    <row r="7" spans="1:12" x14ac:dyDescent="0.3">
      <c r="D7" s="93">
        <v>-0.6</v>
      </c>
      <c r="E7" s="93">
        <v>-1.5</v>
      </c>
      <c r="G7" s="89">
        <v>7.6440000000000001</v>
      </c>
      <c r="H7">
        <v>2.2000000000000002</v>
      </c>
      <c r="I7">
        <f t="shared" si="0"/>
        <v>9.8440000000000012</v>
      </c>
      <c r="K7" s="95">
        <f t="shared" si="1"/>
        <v>2.4529694125558204E-3</v>
      </c>
      <c r="L7" t="s">
        <v>7</v>
      </c>
    </row>
    <row r="9" spans="1:12" x14ac:dyDescent="0.3">
      <c r="A9" t="s">
        <v>46</v>
      </c>
      <c r="D9" s="93">
        <v>1.5</v>
      </c>
      <c r="E9" s="93">
        <v>1.2</v>
      </c>
      <c r="G9" s="89">
        <f t="array" ref="G9:G13">MMULT(D9:E13,F10:F11)</f>
        <v>-8.5139999999999993</v>
      </c>
      <c r="H9">
        <v>-0.2</v>
      </c>
      <c r="I9">
        <f>G9+H9</f>
        <v>-8.7139999999999986</v>
      </c>
      <c r="K9" s="95">
        <f>EXP(I9)/(EXP($I$9)+EXP($I$10)+EXP($I$11)+EXP($I$12)+EXP($I$13))</f>
        <v>1.142493511903223E-7</v>
      </c>
    </row>
    <row r="10" spans="1:12" x14ac:dyDescent="0.3">
      <c r="A10">
        <v>-5.2799999999999994</v>
      </c>
      <c r="B10">
        <v>-0.19999999999999996</v>
      </c>
      <c r="D10" s="93">
        <v>-2.5</v>
      </c>
      <c r="E10" s="93">
        <v>4.0999999999999996</v>
      </c>
      <c r="F10" s="94">
        <f>A14</f>
        <v>-4.38</v>
      </c>
      <c r="G10" s="89">
        <v>4.3079999999999998</v>
      </c>
      <c r="H10">
        <v>-1.4</v>
      </c>
      <c r="I10">
        <f t="shared" ref="I10:I13" si="2">G10+H10</f>
        <v>2.9079999999999999</v>
      </c>
      <c r="K10" s="95">
        <f t="shared" ref="K10:K13" si="3">EXP(I10)/(EXP($I$9)+EXP($I$10)+EXP($I$11)+EXP($I$12)+EXP($I$13))</f>
        <v>1.2741607160515625E-2</v>
      </c>
    </row>
    <row r="11" spans="1:12" x14ac:dyDescent="0.3">
      <c r="A11" t="s">
        <v>3</v>
      </c>
      <c r="D11" s="93">
        <v>1.2</v>
      </c>
      <c r="E11" s="93">
        <v>1.6</v>
      </c>
      <c r="F11" s="94">
        <f>B14</f>
        <v>-1.62</v>
      </c>
      <c r="G11" s="89">
        <v>-7.8479999999999999</v>
      </c>
      <c r="H11">
        <v>-0.1</v>
      </c>
      <c r="I11">
        <f t="shared" si="2"/>
        <v>-7.9479999999999995</v>
      </c>
      <c r="J11" t="s">
        <v>23</v>
      </c>
      <c r="K11" s="95">
        <f t="shared" si="3"/>
        <v>2.4576685703056406E-7</v>
      </c>
    </row>
    <row r="12" spans="1:12" x14ac:dyDescent="0.3">
      <c r="A12">
        <v>2.5499999999999998</v>
      </c>
      <c r="B12">
        <v>1.61</v>
      </c>
      <c r="D12" s="93">
        <v>1.7</v>
      </c>
      <c r="E12" s="93">
        <v>-3</v>
      </c>
      <c r="G12" s="89">
        <v>-2.5859999999999994</v>
      </c>
      <c r="H12">
        <v>0.1</v>
      </c>
      <c r="I12">
        <f t="shared" si="2"/>
        <v>-2.4859999999999993</v>
      </c>
      <c r="K12" s="95">
        <f t="shared" si="3"/>
        <v>5.7894829027777469E-5</v>
      </c>
    </row>
    <row r="13" spans="1:12" x14ac:dyDescent="0.3">
      <c r="A13" t="s">
        <v>4</v>
      </c>
      <c r="D13" s="93">
        <v>-0.6</v>
      </c>
      <c r="E13" s="93">
        <v>-1.5</v>
      </c>
      <c r="G13" s="89">
        <v>5.0579999999999998</v>
      </c>
      <c r="H13">
        <v>2.2000000000000002</v>
      </c>
      <c r="I13">
        <f t="shared" si="2"/>
        <v>7.258</v>
      </c>
      <c r="K13" s="95">
        <f t="shared" si="3"/>
        <v>0.98720013799424833</v>
      </c>
    </row>
    <row r="14" spans="1:12" x14ac:dyDescent="0.3">
      <c r="A14">
        <v>-4.38</v>
      </c>
      <c r="B14">
        <v>-1.62</v>
      </c>
    </row>
    <row r="15" spans="1:12" x14ac:dyDescent="0.3">
      <c r="A15" t="s">
        <v>5</v>
      </c>
    </row>
    <row r="16" spans="1:12" x14ac:dyDescent="0.3">
      <c r="A16">
        <v>0.16000000000000014</v>
      </c>
      <c r="B16">
        <v>-5.16</v>
      </c>
      <c r="D16" t="s">
        <v>77</v>
      </c>
    </row>
    <row r="17" spans="1:4" x14ac:dyDescent="0.3">
      <c r="A17" t="s">
        <v>78</v>
      </c>
    </row>
    <row r="18" spans="1:4" x14ac:dyDescent="0.3">
      <c r="D18" t="s">
        <v>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9408-20C5-4688-AA6A-D18488453C85}">
  <dimension ref="A1:A4"/>
  <sheetViews>
    <sheetView zoomScale="140" zoomScaleNormal="140" workbookViewId="0">
      <selection activeCell="J7" sqref="J7"/>
    </sheetView>
  </sheetViews>
  <sheetFormatPr defaultRowHeight="14" x14ac:dyDescent="0.3"/>
  <sheetData>
    <row r="1" spans="1:1" x14ac:dyDescent="0.3">
      <c r="A1" t="s">
        <v>79</v>
      </c>
    </row>
    <row r="2" spans="1:1" x14ac:dyDescent="0.3">
      <c r="A2" t="s">
        <v>80</v>
      </c>
    </row>
    <row r="3" spans="1:1" x14ac:dyDescent="0.3">
      <c r="A3" t="s">
        <v>81</v>
      </c>
    </row>
    <row r="4" spans="1:1" x14ac:dyDescent="0.3">
      <c r="A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Wordembedding</vt:lpstr>
      <vt:lpstr>WE</vt:lpstr>
      <vt:lpstr>WE (WoT)</vt:lpstr>
      <vt:lpstr>WE (wspaniały)</vt:lpstr>
      <vt:lpstr>Kodowanie pozycyjne</vt:lpstr>
      <vt:lpstr>Podobieństwo+samouwaga</vt:lpstr>
      <vt:lpstr>Samouwaga (value+MSA)</vt:lpstr>
      <vt:lpstr>samaouwaga (jaki)</vt:lpstr>
      <vt:lpstr>SamouwagaWoT</vt:lpstr>
      <vt:lpstr>Samouwaga&lt;EOS &gt;</vt:lpstr>
      <vt:lpstr>Prognoza</vt:lpstr>
      <vt:lpstr>Zadanie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Urszula Grzybowska</dc:creator>
  <cp:keywords/>
  <dc:description/>
  <cp:lastModifiedBy>Urszula Grzybowska</cp:lastModifiedBy>
  <cp:revision/>
  <dcterms:created xsi:type="dcterms:W3CDTF">2024-05-21T06:07:44Z</dcterms:created>
  <dcterms:modified xsi:type="dcterms:W3CDTF">2025-04-27T14:52:22Z</dcterms:modified>
  <cp:category/>
  <cp:contentStatus/>
</cp:coreProperties>
</file>