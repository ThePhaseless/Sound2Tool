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ggwpl-my.sharepoint.com/personal/p489000_sggw_edu_pl/Documents/Pulpit/DeepLearning2025/Wykład 6/"/>
    </mc:Choice>
  </mc:AlternateContent>
  <xr:revisionPtr revIDLastSave="0" documentId="8_{8F0ADB1E-4BB2-41C5-825D-733D1CC57413}" xr6:coauthVersionLast="47" xr6:coauthVersionMax="47" xr10:uidLastSave="{00000000-0000-0000-0000-000000000000}"/>
  <bookViews>
    <workbookView xWindow="-110" yWindow="-110" windowWidth="19420" windowHeight="11500" xr2:uid="{1BF2BF5A-88E3-474D-BA98-0E45F9535AB7}"/>
  </bookViews>
  <sheets>
    <sheet name="RNN" sheetId="1" r:id="rId1"/>
    <sheet name="LSTM" sheetId="2" r:id="rId2"/>
    <sheet name="LSTM (2)" sheetId="5" r:id="rId3"/>
    <sheet name="LSTM (3)" sheetId="6" r:id="rId4"/>
    <sheet name="Zadanie" sheetId="4" r:id="rId5"/>
    <sheet name="Architektura LSTM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8" i="6" l="1"/>
  <c r="N18" i="6"/>
  <c r="I18" i="6"/>
  <c r="E18" i="6"/>
  <c r="Q15" i="6"/>
  <c r="M15" i="6"/>
  <c r="H15" i="6"/>
  <c r="D15" i="6"/>
  <c r="E14" i="6" s="1"/>
  <c r="E11" i="6" s="1"/>
  <c r="E8" i="6" s="1"/>
  <c r="E3" i="6" s="1"/>
  <c r="R18" i="5"/>
  <c r="N18" i="5"/>
  <c r="I18" i="5"/>
  <c r="E18" i="5"/>
  <c r="Q15" i="5"/>
  <c r="M15" i="5"/>
  <c r="H15" i="5"/>
  <c r="D15" i="5"/>
  <c r="E24" i="1"/>
  <c r="E13" i="1"/>
  <c r="E3" i="1"/>
  <c r="G3" i="1" s="1"/>
  <c r="I3" i="1" s="1"/>
  <c r="Q15" i="2"/>
  <c r="R18" i="2"/>
  <c r="M15" i="2"/>
  <c r="N14" i="2" s="1"/>
  <c r="N11" i="2" s="1"/>
  <c r="N8" i="2" s="1"/>
  <c r="H15" i="2"/>
  <c r="D15" i="2"/>
  <c r="N18" i="2"/>
  <c r="I18" i="2"/>
  <c r="E18" i="2"/>
  <c r="N14" i="6" l="1"/>
  <c r="N11" i="6" s="1"/>
  <c r="N8" i="6" s="1"/>
  <c r="E14" i="5"/>
  <c r="E11" i="5" s="1"/>
  <c r="E8" i="5" s="1"/>
  <c r="E3" i="5" s="1"/>
  <c r="I14" i="6"/>
  <c r="I11" i="6" s="1"/>
  <c r="I8" i="6" s="1"/>
  <c r="K5" i="6" s="1"/>
  <c r="K3" i="6" s="1"/>
  <c r="R14" i="6"/>
  <c r="R11" i="6" s="1"/>
  <c r="R8" i="6" s="1"/>
  <c r="I14" i="5"/>
  <c r="I11" i="5" s="1"/>
  <c r="I8" i="5" s="1"/>
  <c r="I5" i="5" s="1"/>
  <c r="N14" i="5"/>
  <c r="N11" i="5" s="1"/>
  <c r="N8" i="5" s="1"/>
  <c r="R14" i="5"/>
  <c r="R11" i="5" s="1"/>
  <c r="R8" i="5" s="1"/>
  <c r="K3" i="1"/>
  <c r="G7" i="1"/>
  <c r="G13" i="1"/>
  <c r="I13" i="1" s="1"/>
  <c r="R14" i="2"/>
  <c r="R11" i="2" s="1"/>
  <c r="R8" i="2" s="1"/>
  <c r="E14" i="2"/>
  <c r="E11" i="2" s="1"/>
  <c r="E8" i="2" s="1"/>
  <c r="E3" i="2" s="1"/>
  <c r="I14" i="2"/>
  <c r="I5" i="6" l="1"/>
  <c r="K5" i="5"/>
  <c r="W1" i="6"/>
  <c r="U6" i="6"/>
  <c r="U10" i="6" s="1"/>
  <c r="U16" i="6" s="1"/>
  <c r="W19" i="6" s="1"/>
  <c r="K3" i="5"/>
  <c r="W1" i="5" s="1"/>
  <c r="K13" i="1"/>
  <c r="G17" i="1"/>
  <c r="G24" i="1" s="1"/>
  <c r="I24" i="1" s="1"/>
  <c r="K24" i="1" s="1"/>
  <c r="M24" i="1" s="1"/>
  <c r="O24" i="1" s="1"/>
  <c r="I11" i="2"/>
  <c r="I8" i="2" s="1"/>
  <c r="I5" i="2" s="1"/>
  <c r="U6" i="5" l="1"/>
  <c r="U10" i="5" s="1"/>
  <c r="U16" i="5" s="1"/>
  <c r="W19" i="5" s="1"/>
  <c r="K5" i="2"/>
  <c r="K3" i="2" s="1"/>
  <c r="W1" i="2" l="1"/>
  <c r="U6" i="2"/>
  <c r="U10" i="2" s="1"/>
  <c r="U16" i="2" s="1"/>
  <c r="W19" i="2" s="1"/>
</calcChain>
</file>

<file path=xl/sharedStrings.xml><?xml version="1.0" encoding="utf-8"?>
<sst xmlns="http://schemas.openxmlformats.org/spreadsheetml/2006/main" count="190" uniqueCount="64">
  <si>
    <t>y1</t>
  </si>
  <si>
    <t>y(t-1)</t>
  </si>
  <si>
    <t>input</t>
  </si>
  <si>
    <t>waga 1.8</t>
  </si>
  <si>
    <t>suma b=0</t>
  </si>
  <si>
    <t>aktywacja ReLu</t>
  </si>
  <si>
    <t>waga1.1</t>
  </si>
  <si>
    <t>b=0</t>
  </si>
  <si>
    <t>wynik</t>
  </si>
  <si>
    <t>czas</t>
  </si>
  <si>
    <t>ciąg</t>
  </si>
  <si>
    <t>Wartość t-2</t>
  </si>
  <si>
    <t>waga -0.5</t>
  </si>
  <si>
    <t>y2</t>
  </si>
  <si>
    <t>Wartość t-1</t>
  </si>
  <si>
    <t>Wartość t</t>
  </si>
  <si>
    <t>Pamięć długoterminowa (stan długoterminowy)</t>
  </si>
  <si>
    <t>Bramka zapominania</t>
  </si>
  <si>
    <t xml:space="preserve">Bramka wejściowa </t>
  </si>
  <si>
    <t>Nowa pamięć długoterminowa</t>
  </si>
  <si>
    <t xml:space="preserve">Bramka wyjściowa </t>
  </si>
  <si>
    <t>mnożenie(x)</t>
  </si>
  <si>
    <t>suma</t>
  </si>
  <si>
    <t>nowy stan długoterminowy</t>
  </si>
  <si>
    <t>c(t-1)</t>
  </si>
  <si>
    <t>c(t)</t>
  </si>
  <si>
    <t>funkcja aktywacji (tgh)</t>
  </si>
  <si>
    <t>dodanie 1</t>
  </si>
  <si>
    <t>mnożenie</t>
  </si>
  <si>
    <t>% pamięci do zapamiętania</t>
  </si>
  <si>
    <t>f(t)</t>
  </si>
  <si>
    <t>i(t)</t>
  </si>
  <si>
    <t>g(t)</t>
  </si>
  <si>
    <t>o(t)</t>
  </si>
  <si>
    <t>funkcja aktywacji (sigmoidalna)</t>
  </si>
  <si>
    <t>zaokrąglamy</t>
  </si>
  <si>
    <t>dodanie b (+1.62)</t>
  </si>
  <si>
    <t>dodanie b (+0.62)</t>
  </si>
  <si>
    <t>dodanie b (-0.32)</t>
  </si>
  <si>
    <t>dodanie b (+0.59)</t>
  </si>
  <si>
    <t>mnożenie  waga 2.70</t>
  </si>
  <si>
    <t>mnożenie waga 2</t>
  </si>
  <si>
    <t>waga 1.41</t>
  </si>
  <si>
    <t>waga 4.38</t>
  </si>
  <si>
    <t>Pamięć krótkoterminowa</t>
  </si>
  <si>
    <t>h(t)=y(t)</t>
  </si>
  <si>
    <t>h(t-1)</t>
  </si>
  <si>
    <t>stan krótkoterminowy</t>
  </si>
  <si>
    <t>pomnożenie przez wagę(1.63)</t>
  </si>
  <si>
    <t>pomnożenie przez wagę(1.65)</t>
  </si>
  <si>
    <t>pomnożenie przez wagę(0.94)</t>
  </si>
  <si>
    <t>mnożenie waga (-0.19)</t>
  </si>
  <si>
    <t>nowy uaktualniony stan krótkotwrminowy</t>
  </si>
  <si>
    <t>wejście</t>
  </si>
  <si>
    <t>x(t)</t>
  </si>
  <si>
    <t>bieżący wektor wejściowy</t>
  </si>
  <si>
    <t>Bieżący wektor wejściowy i poprzedni stan krótkoterminowy są podawane do czterech różnych, w pełni połączonych warstw</t>
  </si>
  <si>
    <t>Wykorzystując model LSTM w arkuszu LSTM zrób prognozę dla dwóch ciagów wartości:</t>
  </si>
  <si>
    <t>Time</t>
  </si>
  <si>
    <t>X1</t>
  </si>
  <si>
    <t>X2</t>
  </si>
  <si>
    <t>h0=c0=0</t>
  </si>
  <si>
    <t>nowa pamięć krótkoterm.</t>
  </si>
  <si>
    <t>(jaka cześć g(t) powinna być dodana do stanu długoterminowego)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</si>
</sst>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4" x14ac:knownFonts="1">
    <font>
      <sz val="11"/>
      <color theme="1"/>
      <name val="Times New Roman"/>
      <family val="2"/>
      <charset val="238"/>
    </font>
    <font>
      <b/>
      <sz val="11"/>
      <color theme="1"/>
      <name val="Times New Roman"/>
      <family val="1"/>
      <charset val="238"/>
    </font>
    <font>
      <sz val="10"/>
      <color theme="1"/>
      <name val="Times New Roman"/>
      <family val="2"/>
      <charset val="238"/>
    </font>
    <font>
      <sz val="9"/>
      <color theme="1"/>
      <name val="Times New Roman"/>
      <family val="2"/>
      <charset val="238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998CE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2" borderId="6" xfId="0" applyFill="1" applyBorder="1"/>
    <xf numFmtId="0" fontId="0" fillId="0" borderId="0" xfId="0" applyAlignment="1">
      <alignment horizontal="right"/>
    </xf>
    <xf numFmtId="0" fontId="0" fillId="2" borderId="0" xfId="0" applyFill="1" applyAlignment="1">
      <alignment horizontal="center"/>
    </xf>
    <xf numFmtId="165" fontId="0" fillId="2" borderId="6" xfId="0" applyNumberFormat="1" applyFill="1" applyBorder="1"/>
    <xf numFmtId="2" fontId="1" fillId="2" borderId="1" xfId="0" applyNumberFormat="1" applyFont="1" applyFill="1" applyBorder="1" applyAlignment="1">
      <alignment horizontal="center"/>
    </xf>
    <xf numFmtId="0" fontId="0" fillId="3" borderId="2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0" xfId="0" applyFill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2" fillId="4" borderId="0" xfId="0" applyFont="1" applyFill="1" applyAlignment="1">
      <alignment horizontal="center" vertical="center"/>
    </xf>
    <xf numFmtId="0" fontId="0" fillId="3" borderId="0" xfId="0" applyFill="1" applyAlignment="1">
      <alignment horizontal="right"/>
    </xf>
    <xf numFmtId="0" fontId="0" fillId="5" borderId="2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0" xfId="0" applyFill="1"/>
    <xf numFmtId="0" fontId="0" fillId="5" borderId="0" xfId="0" applyFill="1" applyAlignment="1">
      <alignment horizontal="right"/>
    </xf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0" fillId="6" borderId="2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0" xfId="0" applyFill="1"/>
    <xf numFmtId="0" fontId="0" fillId="6" borderId="0" xfId="0" applyFill="1" applyAlignment="1">
      <alignment horizontal="right"/>
    </xf>
    <xf numFmtId="0" fontId="0" fillId="6" borderId="7" xfId="0" applyFill="1" applyBorder="1"/>
    <xf numFmtId="0" fontId="0" fillId="6" borderId="8" xfId="0" applyFill="1" applyBorder="1"/>
    <xf numFmtId="0" fontId="0" fillId="6" borderId="9" xfId="0" applyFill="1" applyBorder="1"/>
    <xf numFmtId="0" fontId="0" fillId="5" borderId="5" xfId="0" applyFill="1" applyBorder="1" applyAlignment="1">
      <alignment horizontal="left"/>
    </xf>
    <xf numFmtId="2" fontId="1" fillId="0" borderId="0" xfId="0" applyNumberFormat="1" applyFont="1" applyAlignment="1">
      <alignment horizontal="center"/>
    </xf>
    <xf numFmtId="0" fontId="0" fillId="7" borderId="2" xfId="0" applyFill="1" applyBorder="1"/>
    <xf numFmtId="0" fontId="0" fillId="7" borderId="5" xfId="0" applyFill="1" applyBorder="1"/>
    <xf numFmtId="0" fontId="0" fillId="7" borderId="6" xfId="0" applyFill="1" applyBorder="1"/>
    <xf numFmtId="0" fontId="0" fillId="7" borderId="0" xfId="0" applyFill="1"/>
    <xf numFmtId="0" fontId="0" fillId="7" borderId="0" xfId="0" applyFill="1" applyAlignment="1">
      <alignment horizontal="right"/>
    </xf>
    <xf numFmtId="0" fontId="0" fillId="7" borderId="7" xfId="0" applyFill="1" applyBorder="1"/>
    <xf numFmtId="0" fontId="0" fillId="7" borderId="8" xfId="0" applyFill="1" applyBorder="1"/>
    <xf numFmtId="0" fontId="0" fillId="7" borderId="9" xfId="0" applyFill="1" applyBorder="1"/>
    <xf numFmtId="165" fontId="0" fillId="0" borderId="0" xfId="0" applyNumberFormat="1"/>
    <xf numFmtId="165" fontId="0" fillId="2" borderId="0" xfId="0" applyNumberFormat="1" applyFill="1"/>
    <xf numFmtId="2" fontId="0" fillId="2" borderId="0" xfId="0" applyNumberFormat="1" applyFill="1"/>
    <xf numFmtId="0" fontId="0" fillId="7" borderId="3" xfId="0" applyFill="1" applyBorder="1"/>
    <xf numFmtId="0" fontId="0" fillId="8" borderId="0" xfId="0" applyFill="1"/>
    <xf numFmtId="0" fontId="0" fillId="2" borderId="0" xfId="0" applyFill="1" applyAlignment="1">
      <alignment horizontal="left" vertical="center"/>
    </xf>
    <xf numFmtId="0" fontId="0" fillId="9" borderId="0" xfId="0" applyFill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2" fontId="1" fillId="10" borderId="0" xfId="0" applyNumberFormat="1" applyFont="1" applyFill="1" applyAlignment="1">
      <alignment horizontal="center" vertical="center"/>
    </xf>
    <xf numFmtId="164" fontId="1" fillId="2" borderId="0" xfId="0" applyNumberFormat="1" applyFont="1" applyFill="1"/>
    <xf numFmtId="0" fontId="0" fillId="2" borderId="0" xfId="0" applyFill="1" applyAlignment="1">
      <alignment horizontal="left" vertical="center" wrapText="1"/>
    </xf>
    <xf numFmtId="0" fontId="0" fillId="6" borderId="0" xfId="0" applyFill="1" applyAlignment="1">
      <alignment horizontal="right" vertical="center" wrapText="1"/>
    </xf>
    <xf numFmtId="0" fontId="0" fillId="8" borderId="0" xfId="0" applyFill="1" applyAlignment="1">
      <alignment horizontal="center" vertical="center" wrapText="1"/>
    </xf>
    <xf numFmtId="0" fontId="0" fillId="3" borderId="3" xfId="0" applyFill="1" applyBorder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0" fillId="5" borderId="3" xfId="0" applyFill="1" applyBorder="1" applyAlignment="1">
      <alignment horizontal="right" vertical="center" wrapText="1"/>
    </xf>
    <xf numFmtId="0" fontId="0" fillId="5" borderId="0" xfId="0" applyFill="1" applyAlignment="1">
      <alignment horizontal="right" vertical="center" wrapText="1"/>
    </xf>
    <xf numFmtId="0" fontId="0" fillId="6" borderId="3" xfId="0" applyFill="1" applyBorder="1" applyAlignment="1">
      <alignment horizontal="right" vertical="center" wrapText="1"/>
    </xf>
    <xf numFmtId="0" fontId="0" fillId="7" borderId="3" xfId="0" applyFill="1" applyBorder="1" applyAlignment="1">
      <alignment horizontal="right" vertical="center" wrapText="1"/>
    </xf>
    <xf numFmtId="0" fontId="0" fillId="7" borderId="0" xfId="0" applyFill="1" applyAlignment="1">
      <alignment horizontal="right" vertical="center" wrapText="1"/>
    </xf>
    <xf numFmtId="0" fontId="0" fillId="4" borderId="0" xfId="0" applyFill="1" applyAlignment="1">
      <alignment horizontal="center" vertical="center"/>
    </xf>
    <xf numFmtId="0" fontId="3" fillId="0" borderId="0" xfId="0" applyFont="1" applyAlignment="1">
      <alignment horizontal="left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C998CE"/>
      <color rgb="FFCC66FF"/>
      <color rgb="FF9F11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</xdr:colOff>
      <xdr:row>2</xdr:row>
      <xdr:rowOff>88900</xdr:rowOff>
    </xdr:from>
    <xdr:to>
      <xdr:col>4</xdr:col>
      <xdr:colOff>6350</xdr:colOff>
      <xdr:row>2</xdr:row>
      <xdr:rowOff>88900</xdr:rowOff>
    </xdr:to>
    <xdr:cxnSp macro="">
      <xdr:nvCxnSpPr>
        <xdr:cNvPr id="3" name="Łącznik prosty ze strzałką 2">
          <a:extLst>
            <a:ext uri="{FF2B5EF4-FFF2-40B4-BE49-F238E27FC236}">
              <a16:creationId xmlns:a16="http://schemas.microsoft.com/office/drawing/2014/main" id="{2D77C44C-262A-7BC6-7895-F7A1CAB43AB8}"/>
            </a:ext>
          </a:extLst>
        </xdr:cNvPr>
        <xdr:cNvCxnSpPr/>
      </xdr:nvCxnSpPr>
      <xdr:spPr>
        <a:xfrm>
          <a:off x="2032000" y="444500"/>
          <a:ext cx="609600" cy="0"/>
        </a:xfrm>
        <a:prstGeom prst="straightConnector1">
          <a:avLst/>
        </a:prstGeom>
        <a:ln w="190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</xdr:row>
      <xdr:rowOff>101600</xdr:rowOff>
    </xdr:from>
    <xdr:to>
      <xdr:col>6</xdr:col>
      <xdr:colOff>0</xdr:colOff>
      <xdr:row>2</xdr:row>
      <xdr:rowOff>101600</xdr:rowOff>
    </xdr:to>
    <xdr:cxnSp macro="">
      <xdr:nvCxnSpPr>
        <xdr:cNvPr id="4" name="Łącznik prosty ze strzałką 3">
          <a:extLst>
            <a:ext uri="{FF2B5EF4-FFF2-40B4-BE49-F238E27FC236}">
              <a16:creationId xmlns:a16="http://schemas.microsoft.com/office/drawing/2014/main" id="{B9CDA227-58DA-4C24-AEF8-CE25E655CA8A}"/>
            </a:ext>
          </a:extLst>
        </xdr:cNvPr>
        <xdr:cNvCxnSpPr/>
      </xdr:nvCxnSpPr>
      <xdr:spPr>
        <a:xfrm>
          <a:off x="3244850" y="457200"/>
          <a:ext cx="609600" cy="0"/>
        </a:xfrm>
        <a:prstGeom prst="straightConnector1">
          <a:avLst/>
        </a:prstGeom>
        <a:ln w="190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25400</xdr:colOff>
      <xdr:row>2</xdr:row>
      <xdr:rowOff>88900</xdr:rowOff>
    </xdr:from>
    <xdr:to>
      <xdr:col>8</xdr:col>
      <xdr:colOff>25400</xdr:colOff>
      <xdr:row>2</xdr:row>
      <xdr:rowOff>88900</xdr:rowOff>
    </xdr:to>
    <xdr:cxnSp macro="">
      <xdr:nvCxnSpPr>
        <xdr:cNvPr id="5" name="Łącznik prosty ze strzałką 4">
          <a:extLst>
            <a:ext uri="{FF2B5EF4-FFF2-40B4-BE49-F238E27FC236}">
              <a16:creationId xmlns:a16="http://schemas.microsoft.com/office/drawing/2014/main" id="{A7CCEB3F-3C9E-4127-A3C7-C419F76F1D83}"/>
            </a:ext>
          </a:extLst>
        </xdr:cNvPr>
        <xdr:cNvCxnSpPr/>
      </xdr:nvCxnSpPr>
      <xdr:spPr>
        <a:xfrm>
          <a:off x="4489450" y="444500"/>
          <a:ext cx="609600" cy="0"/>
        </a:xfrm>
        <a:prstGeom prst="straightConnector1">
          <a:avLst/>
        </a:prstGeom>
        <a:ln w="190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6350</xdr:colOff>
      <xdr:row>2</xdr:row>
      <xdr:rowOff>82550</xdr:rowOff>
    </xdr:from>
    <xdr:to>
      <xdr:col>10</xdr:col>
      <xdr:colOff>6350</xdr:colOff>
      <xdr:row>2</xdr:row>
      <xdr:rowOff>82550</xdr:rowOff>
    </xdr:to>
    <xdr:cxnSp macro="">
      <xdr:nvCxnSpPr>
        <xdr:cNvPr id="6" name="Łącznik prosty ze strzałką 5">
          <a:extLst>
            <a:ext uri="{FF2B5EF4-FFF2-40B4-BE49-F238E27FC236}">
              <a16:creationId xmlns:a16="http://schemas.microsoft.com/office/drawing/2014/main" id="{BABBE2E1-43B4-4366-9024-F369E2C5FABA}"/>
            </a:ext>
          </a:extLst>
        </xdr:cNvPr>
        <xdr:cNvCxnSpPr/>
      </xdr:nvCxnSpPr>
      <xdr:spPr>
        <a:xfrm>
          <a:off x="5689600" y="438150"/>
          <a:ext cx="609600" cy="0"/>
        </a:xfrm>
        <a:prstGeom prst="straightConnector1">
          <a:avLst/>
        </a:prstGeom>
        <a:ln w="19050">
          <a:solidFill>
            <a:schemeClr val="accent5">
              <a:lumMod val="75000"/>
            </a:schemeClr>
          </a:solidFill>
          <a:prstDash val="lg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38100</xdr:colOff>
      <xdr:row>2</xdr:row>
      <xdr:rowOff>107950</xdr:rowOff>
    </xdr:from>
    <xdr:to>
      <xdr:col>14</xdr:col>
      <xdr:colOff>38100</xdr:colOff>
      <xdr:row>2</xdr:row>
      <xdr:rowOff>107950</xdr:rowOff>
    </xdr:to>
    <xdr:cxnSp macro="">
      <xdr:nvCxnSpPr>
        <xdr:cNvPr id="8" name="Łącznik prosty ze strzałką 7">
          <a:extLst>
            <a:ext uri="{FF2B5EF4-FFF2-40B4-BE49-F238E27FC236}">
              <a16:creationId xmlns:a16="http://schemas.microsoft.com/office/drawing/2014/main" id="{96B1FC98-CEF4-41CE-935A-3757EBF74763}"/>
            </a:ext>
          </a:extLst>
        </xdr:cNvPr>
        <xdr:cNvCxnSpPr/>
      </xdr:nvCxnSpPr>
      <xdr:spPr>
        <a:xfrm>
          <a:off x="8159750" y="463550"/>
          <a:ext cx="609600" cy="0"/>
        </a:xfrm>
        <a:prstGeom prst="straightConnector1">
          <a:avLst/>
        </a:prstGeom>
        <a:ln w="190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349250</xdr:colOff>
      <xdr:row>3</xdr:row>
      <xdr:rowOff>50800</xdr:rowOff>
    </xdr:from>
    <xdr:to>
      <xdr:col>8</xdr:col>
      <xdr:colOff>361950</xdr:colOff>
      <xdr:row>6</xdr:row>
      <xdr:rowOff>6350</xdr:rowOff>
    </xdr:to>
    <xdr:cxnSp macro="">
      <xdr:nvCxnSpPr>
        <xdr:cNvPr id="11" name="Łącznik prosty ze strzałką 10">
          <a:extLst>
            <a:ext uri="{FF2B5EF4-FFF2-40B4-BE49-F238E27FC236}">
              <a16:creationId xmlns:a16="http://schemas.microsoft.com/office/drawing/2014/main" id="{163D3553-B365-E426-6C23-CF950A5DF5AD}"/>
            </a:ext>
          </a:extLst>
        </xdr:cNvPr>
        <xdr:cNvCxnSpPr/>
      </xdr:nvCxnSpPr>
      <xdr:spPr>
        <a:xfrm flipH="1">
          <a:off x="4203700" y="584200"/>
          <a:ext cx="1231900" cy="48895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6350</xdr:colOff>
      <xdr:row>12</xdr:row>
      <xdr:rowOff>88900</xdr:rowOff>
    </xdr:from>
    <xdr:to>
      <xdr:col>4</xdr:col>
      <xdr:colOff>6350</xdr:colOff>
      <xdr:row>12</xdr:row>
      <xdr:rowOff>88900</xdr:rowOff>
    </xdr:to>
    <xdr:cxnSp macro="">
      <xdr:nvCxnSpPr>
        <xdr:cNvPr id="15" name="Łącznik prosty ze strzałką 14">
          <a:extLst>
            <a:ext uri="{FF2B5EF4-FFF2-40B4-BE49-F238E27FC236}">
              <a16:creationId xmlns:a16="http://schemas.microsoft.com/office/drawing/2014/main" id="{99A96467-57B7-4113-BE06-D919774449E3}"/>
            </a:ext>
          </a:extLst>
        </xdr:cNvPr>
        <xdr:cNvCxnSpPr/>
      </xdr:nvCxnSpPr>
      <xdr:spPr>
        <a:xfrm>
          <a:off x="2032000" y="444500"/>
          <a:ext cx="609600" cy="0"/>
        </a:xfrm>
        <a:prstGeom prst="straightConnector1">
          <a:avLst/>
        </a:prstGeom>
        <a:ln w="190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12</xdr:row>
      <xdr:rowOff>101600</xdr:rowOff>
    </xdr:from>
    <xdr:to>
      <xdr:col>6</xdr:col>
      <xdr:colOff>0</xdr:colOff>
      <xdr:row>12</xdr:row>
      <xdr:rowOff>101600</xdr:rowOff>
    </xdr:to>
    <xdr:cxnSp macro="">
      <xdr:nvCxnSpPr>
        <xdr:cNvPr id="16" name="Łącznik prosty ze strzałką 15">
          <a:extLst>
            <a:ext uri="{FF2B5EF4-FFF2-40B4-BE49-F238E27FC236}">
              <a16:creationId xmlns:a16="http://schemas.microsoft.com/office/drawing/2014/main" id="{4F1B6267-CFA7-4302-A303-7A9D8E418B45}"/>
            </a:ext>
          </a:extLst>
        </xdr:cNvPr>
        <xdr:cNvCxnSpPr/>
      </xdr:nvCxnSpPr>
      <xdr:spPr>
        <a:xfrm>
          <a:off x="3244850" y="457200"/>
          <a:ext cx="609600" cy="0"/>
        </a:xfrm>
        <a:prstGeom prst="straightConnector1">
          <a:avLst/>
        </a:prstGeom>
        <a:ln w="190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25400</xdr:colOff>
      <xdr:row>12</xdr:row>
      <xdr:rowOff>88900</xdr:rowOff>
    </xdr:from>
    <xdr:to>
      <xdr:col>8</xdr:col>
      <xdr:colOff>25400</xdr:colOff>
      <xdr:row>12</xdr:row>
      <xdr:rowOff>88900</xdr:rowOff>
    </xdr:to>
    <xdr:cxnSp macro="">
      <xdr:nvCxnSpPr>
        <xdr:cNvPr id="17" name="Łącznik prosty ze strzałką 16">
          <a:extLst>
            <a:ext uri="{FF2B5EF4-FFF2-40B4-BE49-F238E27FC236}">
              <a16:creationId xmlns:a16="http://schemas.microsoft.com/office/drawing/2014/main" id="{4E009EE0-7BB1-4FCB-A445-9852CFB61F9F}"/>
            </a:ext>
          </a:extLst>
        </xdr:cNvPr>
        <xdr:cNvCxnSpPr/>
      </xdr:nvCxnSpPr>
      <xdr:spPr>
        <a:xfrm>
          <a:off x="4489450" y="444500"/>
          <a:ext cx="609600" cy="0"/>
        </a:xfrm>
        <a:prstGeom prst="straightConnector1">
          <a:avLst/>
        </a:prstGeom>
        <a:ln w="190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38100</xdr:colOff>
      <xdr:row>12</xdr:row>
      <xdr:rowOff>107950</xdr:rowOff>
    </xdr:from>
    <xdr:to>
      <xdr:col>14</xdr:col>
      <xdr:colOff>38100</xdr:colOff>
      <xdr:row>12</xdr:row>
      <xdr:rowOff>107950</xdr:rowOff>
    </xdr:to>
    <xdr:cxnSp macro="">
      <xdr:nvCxnSpPr>
        <xdr:cNvPr id="20" name="Łącznik prosty ze strzałką 19">
          <a:extLst>
            <a:ext uri="{FF2B5EF4-FFF2-40B4-BE49-F238E27FC236}">
              <a16:creationId xmlns:a16="http://schemas.microsoft.com/office/drawing/2014/main" id="{F3F004D5-187B-488A-9E9B-3B86BDD20497}"/>
            </a:ext>
          </a:extLst>
        </xdr:cNvPr>
        <xdr:cNvCxnSpPr/>
      </xdr:nvCxnSpPr>
      <xdr:spPr>
        <a:xfrm>
          <a:off x="8159750" y="463550"/>
          <a:ext cx="609600" cy="0"/>
        </a:xfrm>
        <a:prstGeom prst="straightConnector1">
          <a:avLst/>
        </a:prstGeom>
        <a:ln w="190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368300</xdr:colOff>
      <xdr:row>6</xdr:row>
      <xdr:rowOff>146050</xdr:rowOff>
    </xdr:from>
    <xdr:to>
      <xdr:col>6</xdr:col>
      <xdr:colOff>457200</xdr:colOff>
      <xdr:row>11</xdr:row>
      <xdr:rowOff>95250</xdr:rowOff>
    </xdr:to>
    <xdr:cxnSp macro="">
      <xdr:nvCxnSpPr>
        <xdr:cNvPr id="21" name="Łącznik prosty ze strzałką 20">
          <a:extLst>
            <a:ext uri="{FF2B5EF4-FFF2-40B4-BE49-F238E27FC236}">
              <a16:creationId xmlns:a16="http://schemas.microsoft.com/office/drawing/2014/main" id="{DE576194-828D-4E72-BDB4-715DB6AEAD93}"/>
            </a:ext>
          </a:extLst>
        </xdr:cNvPr>
        <xdr:cNvCxnSpPr/>
      </xdr:nvCxnSpPr>
      <xdr:spPr>
        <a:xfrm>
          <a:off x="4222750" y="1212850"/>
          <a:ext cx="88900" cy="8382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349250</xdr:colOff>
      <xdr:row>13</xdr:row>
      <xdr:rowOff>50800</xdr:rowOff>
    </xdr:from>
    <xdr:to>
      <xdr:col>8</xdr:col>
      <xdr:colOff>361950</xdr:colOff>
      <xdr:row>16</xdr:row>
      <xdr:rowOff>6350</xdr:rowOff>
    </xdr:to>
    <xdr:cxnSp macro="">
      <xdr:nvCxnSpPr>
        <xdr:cNvPr id="23" name="Łącznik prosty ze strzałką 22">
          <a:extLst>
            <a:ext uri="{FF2B5EF4-FFF2-40B4-BE49-F238E27FC236}">
              <a16:creationId xmlns:a16="http://schemas.microsoft.com/office/drawing/2014/main" id="{FE2EDF4C-837F-42A6-9047-BD0C234A421F}"/>
            </a:ext>
          </a:extLst>
        </xdr:cNvPr>
        <xdr:cNvCxnSpPr/>
      </xdr:nvCxnSpPr>
      <xdr:spPr>
        <a:xfrm flipH="1">
          <a:off x="4203700" y="584200"/>
          <a:ext cx="1231900" cy="48895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368300</xdr:colOff>
      <xdr:row>16</xdr:row>
      <xdr:rowOff>146050</xdr:rowOff>
    </xdr:from>
    <xdr:to>
      <xdr:col>6</xdr:col>
      <xdr:colOff>457200</xdr:colOff>
      <xdr:row>21</xdr:row>
      <xdr:rowOff>95250</xdr:rowOff>
    </xdr:to>
    <xdr:cxnSp macro="">
      <xdr:nvCxnSpPr>
        <xdr:cNvPr id="24" name="Łącznik prosty ze strzałką 23">
          <a:extLst>
            <a:ext uri="{FF2B5EF4-FFF2-40B4-BE49-F238E27FC236}">
              <a16:creationId xmlns:a16="http://schemas.microsoft.com/office/drawing/2014/main" id="{0321A759-B98C-4DDF-A743-357016A6D45D}"/>
            </a:ext>
          </a:extLst>
        </xdr:cNvPr>
        <xdr:cNvCxnSpPr/>
      </xdr:nvCxnSpPr>
      <xdr:spPr>
        <a:xfrm>
          <a:off x="4222750" y="1212850"/>
          <a:ext cx="88900" cy="83820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6350</xdr:colOff>
      <xdr:row>23</xdr:row>
      <xdr:rowOff>88900</xdr:rowOff>
    </xdr:from>
    <xdr:to>
      <xdr:col>4</xdr:col>
      <xdr:colOff>6350</xdr:colOff>
      <xdr:row>23</xdr:row>
      <xdr:rowOff>88900</xdr:rowOff>
    </xdr:to>
    <xdr:cxnSp macro="">
      <xdr:nvCxnSpPr>
        <xdr:cNvPr id="25" name="Łącznik prosty ze strzałką 24">
          <a:extLst>
            <a:ext uri="{FF2B5EF4-FFF2-40B4-BE49-F238E27FC236}">
              <a16:creationId xmlns:a16="http://schemas.microsoft.com/office/drawing/2014/main" id="{AB580001-2062-4CEC-9D47-B266B89A89AF}"/>
            </a:ext>
          </a:extLst>
        </xdr:cNvPr>
        <xdr:cNvCxnSpPr/>
      </xdr:nvCxnSpPr>
      <xdr:spPr>
        <a:xfrm>
          <a:off x="2032000" y="2222500"/>
          <a:ext cx="609600" cy="0"/>
        </a:xfrm>
        <a:prstGeom prst="straightConnector1">
          <a:avLst/>
        </a:prstGeom>
        <a:ln w="190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23</xdr:row>
      <xdr:rowOff>101600</xdr:rowOff>
    </xdr:from>
    <xdr:to>
      <xdr:col>6</xdr:col>
      <xdr:colOff>0</xdr:colOff>
      <xdr:row>23</xdr:row>
      <xdr:rowOff>101600</xdr:rowOff>
    </xdr:to>
    <xdr:cxnSp macro="">
      <xdr:nvCxnSpPr>
        <xdr:cNvPr id="26" name="Łącznik prosty ze strzałką 25">
          <a:extLst>
            <a:ext uri="{FF2B5EF4-FFF2-40B4-BE49-F238E27FC236}">
              <a16:creationId xmlns:a16="http://schemas.microsoft.com/office/drawing/2014/main" id="{9529C3CB-DC71-4BA3-A2C7-6889BA83CB98}"/>
            </a:ext>
          </a:extLst>
        </xdr:cNvPr>
        <xdr:cNvCxnSpPr/>
      </xdr:nvCxnSpPr>
      <xdr:spPr>
        <a:xfrm>
          <a:off x="3244850" y="2235200"/>
          <a:ext cx="609600" cy="0"/>
        </a:xfrm>
        <a:prstGeom prst="straightConnector1">
          <a:avLst/>
        </a:prstGeom>
        <a:ln w="190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25400</xdr:colOff>
      <xdr:row>23</xdr:row>
      <xdr:rowOff>88900</xdr:rowOff>
    </xdr:from>
    <xdr:to>
      <xdr:col>8</xdr:col>
      <xdr:colOff>25400</xdr:colOff>
      <xdr:row>23</xdr:row>
      <xdr:rowOff>88900</xdr:rowOff>
    </xdr:to>
    <xdr:cxnSp macro="">
      <xdr:nvCxnSpPr>
        <xdr:cNvPr id="27" name="Łącznik prosty ze strzałką 26">
          <a:extLst>
            <a:ext uri="{FF2B5EF4-FFF2-40B4-BE49-F238E27FC236}">
              <a16:creationId xmlns:a16="http://schemas.microsoft.com/office/drawing/2014/main" id="{67FF18F8-8E30-4C23-BC84-9EF0AFF3E1B0}"/>
            </a:ext>
          </a:extLst>
        </xdr:cNvPr>
        <xdr:cNvCxnSpPr/>
      </xdr:nvCxnSpPr>
      <xdr:spPr>
        <a:xfrm>
          <a:off x="4489450" y="2222500"/>
          <a:ext cx="609600" cy="0"/>
        </a:xfrm>
        <a:prstGeom prst="straightConnector1">
          <a:avLst/>
        </a:prstGeom>
        <a:ln w="190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6350</xdr:colOff>
      <xdr:row>23</xdr:row>
      <xdr:rowOff>82550</xdr:rowOff>
    </xdr:from>
    <xdr:to>
      <xdr:col>10</xdr:col>
      <xdr:colOff>6350</xdr:colOff>
      <xdr:row>23</xdr:row>
      <xdr:rowOff>82550</xdr:rowOff>
    </xdr:to>
    <xdr:cxnSp macro="">
      <xdr:nvCxnSpPr>
        <xdr:cNvPr id="28" name="Łącznik prosty ze strzałką 27">
          <a:extLst>
            <a:ext uri="{FF2B5EF4-FFF2-40B4-BE49-F238E27FC236}">
              <a16:creationId xmlns:a16="http://schemas.microsoft.com/office/drawing/2014/main" id="{8F886522-0C47-4946-A8A5-7B5C630DAAB4}"/>
            </a:ext>
          </a:extLst>
        </xdr:cNvPr>
        <xdr:cNvCxnSpPr/>
      </xdr:nvCxnSpPr>
      <xdr:spPr>
        <a:xfrm>
          <a:off x="5689600" y="2216150"/>
          <a:ext cx="609600" cy="0"/>
        </a:xfrm>
        <a:prstGeom prst="straightConnector1">
          <a:avLst/>
        </a:prstGeom>
        <a:ln w="190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25400</xdr:colOff>
      <xdr:row>23</xdr:row>
      <xdr:rowOff>88900</xdr:rowOff>
    </xdr:from>
    <xdr:to>
      <xdr:col>12</xdr:col>
      <xdr:colOff>25400</xdr:colOff>
      <xdr:row>23</xdr:row>
      <xdr:rowOff>88900</xdr:rowOff>
    </xdr:to>
    <xdr:cxnSp macro="">
      <xdr:nvCxnSpPr>
        <xdr:cNvPr id="29" name="Łącznik prosty ze strzałką 28">
          <a:extLst>
            <a:ext uri="{FF2B5EF4-FFF2-40B4-BE49-F238E27FC236}">
              <a16:creationId xmlns:a16="http://schemas.microsoft.com/office/drawing/2014/main" id="{81C59F0B-7527-437F-8979-7732AB7F2632}"/>
            </a:ext>
          </a:extLst>
        </xdr:cNvPr>
        <xdr:cNvCxnSpPr/>
      </xdr:nvCxnSpPr>
      <xdr:spPr>
        <a:xfrm>
          <a:off x="6927850" y="2222500"/>
          <a:ext cx="609600" cy="0"/>
        </a:xfrm>
        <a:prstGeom prst="straightConnector1">
          <a:avLst/>
        </a:prstGeom>
        <a:ln w="190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38100</xdr:colOff>
      <xdr:row>23</xdr:row>
      <xdr:rowOff>107950</xdr:rowOff>
    </xdr:from>
    <xdr:to>
      <xdr:col>14</xdr:col>
      <xdr:colOff>38100</xdr:colOff>
      <xdr:row>23</xdr:row>
      <xdr:rowOff>107950</xdr:rowOff>
    </xdr:to>
    <xdr:cxnSp macro="">
      <xdr:nvCxnSpPr>
        <xdr:cNvPr id="30" name="Łącznik prosty ze strzałką 29">
          <a:extLst>
            <a:ext uri="{FF2B5EF4-FFF2-40B4-BE49-F238E27FC236}">
              <a16:creationId xmlns:a16="http://schemas.microsoft.com/office/drawing/2014/main" id="{A152CDCD-CC2D-4201-88A2-4738A64F265B}"/>
            </a:ext>
          </a:extLst>
        </xdr:cNvPr>
        <xdr:cNvCxnSpPr/>
      </xdr:nvCxnSpPr>
      <xdr:spPr>
        <a:xfrm>
          <a:off x="8159750" y="2241550"/>
          <a:ext cx="609600" cy="0"/>
        </a:xfrm>
        <a:prstGeom prst="straightConnector1">
          <a:avLst/>
        </a:prstGeom>
        <a:ln w="190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25400</xdr:colOff>
      <xdr:row>2</xdr:row>
      <xdr:rowOff>95250</xdr:rowOff>
    </xdr:from>
    <xdr:to>
      <xdr:col>12</xdr:col>
      <xdr:colOff>25400</xdr:colOff>
      <xdr:row>2</xdr:row>
      <xdr:rowOff>95250</xdr:rowOff>
    </xdr:to>
    <xdr:cxnSp macro="">
      <xdr:nvCxnSpPr>
        <xdr:cNvPr id="31" name="Łącznik prosty ze strzałką 30">
          <a:extLst>
            <a:ext uri="{FF2B5EF4-FFF2-40B4-BE49-F238E27FC236}">
              <a16:creationId xmlns:a16="http://schemas.microsoft.com/office/drawing/2014/main" id="{37B8A778-8B0E-4C33-A66E-61C75780C39E}"/>
            </a:ext>
          </a:extLst>
        </xdr:cNvPr>
        <xdr:cNvCxnSpPr/>
      </xdr:nvCxnSpPr>
      <xdr:spPr>
        <a:xfrm>
          <a:off x="6927850" y="450850"/>
          <a:ext cx="609600" cy="0"/>
        </a:xfrm>
        <a:prstGeom prst="straightConnector1">
          <a:avLst/>
        </a:prstGeom>
        <a:ln w="19050">
          <a:solidFill>
            <a:schemeClr val="accent5">
              <a:lumMod val="75000"/>
            </a:schemeClr>
          </a:solidFill>
          <a:prstDash val="lg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12</xdr:row>
      <xdr:rowOff>120650</xdr:rowOff>
    </xdr:from>
    <xdr:to>
      <xdr:col>10</xdr:col>
      <xdr:colOff>0</xdr:colOff>
      <xdr:row>12</xdr:row>
      <xdr:rowOff>120650</xdr:rowOff>
    </xdr:to>
    <xdr:cxnSp macro="">
      <xdr:nvCxnSpPr>
        <xdr:cNvPr id="32" name="Łącznik prosty ze strzałką 31">
          <a:extLst>
            <a:ext uri="{FF2B5EF4-FFF2-40B4-BE49-F238E27FC236}">
              <a16:creationId xmlns:a16="http://schemas.microsoft.com/office/drawing/2014/main" id="{0A249824-303D-49E0-9E9D-BA5A0CD02D21}"/>
            </a:ext>
          </a:extLst>
        </xdr:cNvPr>
        <xdr:cNvCxnSpPr/>
      </xdr:nvCxnSpPr>
      <xdr:spPr>
        <a:xfrm>
          <a:off x="5683250" y="2254250"/>
          <a:ext cx="609600" cy="0"/>
        </a:xfrm>
        <a:prstGeom prst="straightConnector1">
          <a:avLst/>
        </a:prstGeom>
        <a:ln w="19050">
          <a:solidFill>
            <a:schemeClr val="accent5">
              <a:lumMod val="75000"/>
            </a:schemeClr>
          </a:solidFill>
          <a:prstDash val="lg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25400</xdr:colOff>
      <xdr:row>2</xdr:row>
      <xdr:rowOff>88900</xdr:rowOff>
    </xdr:from>
    <xdr:to>
      <xdr:col>12</xdr:col>
      <xdr:colOff>25400</xdr:colOff>
      <xdr:row>2</xdr:row>
      <xdr:rowOff>88900</xdr:rowOff>
    </xdr:to>
    <xdr:cxnSp macro="">
      <xdr:nvCxnSpPr>
        <xdr:cNvPr id="33" name="Łącznik prosty ze strzałką 32">
          <a:extLst>
            <a:ext uri="{FF2B5EF4-FFF2-40B4-BE49-F238E27FC236}">
              <a16:creationId xmlns:a16="http://schemas.microsoft.com/office/drawing/2014/main" id="{4EFECB16-284E-4ADD-9105-CD1EE660F42A}"/>
            </a:ext>
          </a:extLst>
        </xdr:cNvPr>
        <xdr:cNvCxnSpPr/>
      </xdr:nvCxnSpPr>
      <xdr:spPr>
        <a:xfrm>
          <a:off x="6927850" y="444500"/>
          <a:ext cx="609600" cy="0"/>
        </a:xfrm>
        <a:prstGeom prst="straightConnector1">
          <a:avLst/>
        </a:prstGeom>
        <a:ln w="19050">
          <a:solidFill>
            <a:schemeClr val="accent5">
              <a:lumMod val="75000"/>
            </a:schemeClr>
          </a:solidFill>
          <a:prstDash val="lg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12700</xdr:colOff>
      <xdr:row>12</xdr:row>
      <xdr:rowOff>107950</xdr:rowOff>
    </xdr:from>
    <xdr:to>
      <xdr:col>12</xdr:col>
      <xdr:colOff>12700</xdr:colOff>
      <xdr:row>12</xdr:row>
      <xdr:rowOff>107950</xdr:rowOff>
    </xdr:to>
    <xdr:cxnSp macro="">
      <xdr:nvCxnSpPr>
        <xdr:cNvPr id="34" name="Łącznik prosty ze strzałką 33">
          <a:extLst>
            <a:ext uri="{FF2B5EF4-FFF2-40B4-BE49-F238E27FC236}">
              <a16:creationId xmlns:a16="http://schemas.microsoft.com/office/drawing/2014/main" id="{C85F72CB-1083-4EF8-92F1-4FC6CBC9DDAB}"/>
            </a:ext>
          </a:extLst>
        </xdr:cNvPr>
        <xdr:cNvCxnSpPr/>
      </xdr:nvCxnSpPr>
      <xdr:spPr>
        <a:xfrm>
          <a:off x="6915150" y="2241550"/>
          <a:ext cx="609600" cy="0"/>
        </a:xfrm>
        <a:prstGeom prst="straightConnector1">
          <a:avLst/>
        </a:prstGeom>
        <a:ln w="19050">
          <a:solidFill>
            <a:schemeClr val="accent5">
              <a:lumMod val="75000"/>
            </a:schemeClr>
          </a:solidFill>
          <a:prstDash val="lg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6350</xdr:colOff>
      <xdr:row>12</xdr:row>
      <xdr:rowOff>88900</xdr:rowOff>
    </xdr:from>
    <xdr:to>
      <xdr:col>4</xdr:col>
      <xdr:colOff>6350</xdr:colOff>
      <xdr:row>12</xdr:row>
      <xdr:rowOff>88900</xdr:rowOff>
    </xdr:to>
    <xdr:cxnSp macro="">
      <xdr:nvCxnSpPr>
        <xdr:cNvPr id="35" name="Łącznik prosty ze strzałką 34">
          <a:extLst>
            <a:ext uri="{FF2B5EF4-FFF2-40B4-BE49-F238E27FC236}">
              <a16:creationId xmlns:a16="http://schemas.microsoft.com/office/drawing/2014/main" id="{EB04214E-4379-4423-844B-A1A6C234CEA5}"/>
            </a:ext>
          </a:extLst>
        </xdr:cNvPr>
        <xdr:cNvCxnSpPr/>
      </xdr:nvCxnSpPr>
      <xdr:spPr>
        <a:xfrm>
          <a:off x="2032000" y="444500"/>
          <a:ext cx="609600" cy="0"/>
        </a:xfrm>
        <a:prstGeom prst="straightConnector1">
          <a:avLst/>
        </a:prstGeom>
        <a:ln w="190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25400</xdr:colOff>
      <xdr:row>12</xdr:row>
      <xdr:rowOff>88900</xdr:rowOff>
    </xdr:from>
    <xdr:to>
      <xdr:col>8</xdr:col>
      <xdr:colOff>25400</xdr:colOff>
      <xdr:row>12</xdr:row>
      <xdr:rowOff>88900</xdr:rowOff>
    </xdr:to>
    <xdr:cxnSp macro="">
      <xdr:nvCxnSpPr>
        <xdr:cNvPr id="36" name="Łącznik prosty ze strzałką 35">
          <a:extLst>
            <a:ext uri="{FF2B5EF4-FFF2-40B4-BE49-F238E27FC236}">
              <a16:creationId xmlns:a16="http://schemas.microsoft.com/office/drawing/2014/main" id="{7860B519-DFB4-4719-8CD1-90975FC3D019}"/>
            </a:ext>
          </a:extLst>
        </xdr:cNvPr>
        <xdr:cNvCxnSpPr/>
      </xdr:nvCxnSpPr>
      <xdr:spPr>
        <a:xfrm>
          <a:off x="4489450" y="444500"/>
          <a:ext cx="609600" cy="0"/>
        </a:xfrm>
        <a:prstGeom prst="straightConnector1">
          <a:avLst/>
        </a:prstGeom>
        <a:ln w="190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25400</xdr:colOff>
      <xdr:row>23</xdr:row>
      <xdr:rowOff>88900</xdr:rowOff>
    </xdr:from>
    <xdr:to>
      <xdr:col>8</xdr:col>
      <xdr:colOff>25400</xdr:colOff>
      <xdr:row>23</xdr:row>
      <xdr:rowOff>88900</xdr:rowOff>
    </xdr:to>
    <xdr:cxnSp macro="">
      <xdr:nvCxnSpPr>
        <xdr:cNvPr id="37" name="Łącznik prosty ze strzałką 36">
          <a:extLst>
            <a:ext uri="{FF2B5EF4-FFF2-40B4-BE49-F238E27FC236}">
              <a16:creationId xmlns:a16="http://schemas.microsoft.com/office/drawing/2014/main" id="{81196C0A-187B-4072-B550-DE182A188F40}"/>
            </a:ext>
          </a:extLst>
        </xdr:cNvPr>
        <xdr:cNvCxnSpPr/>
      </xdr:nvCxnSpPr>
      <xdr:spPr>
        <a:xfrm>
          <a:off x="4489450" y="2222500"/>
          <a:ext cx="609600" cy="0"/>
        </a:xfrm>
        <a:prstGeom prst="straightConnector1">
          <a:avLst/>
        </a:prstGeom>
        <a:ln w="190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25400</xdr:colOff>
      <xdr:row>23</xdr:row>
      <xdr:rowOff>88900</xdr:rowOff>
    </xdr:from>
    <xdr:to>
      <xdr:col>8</xdr:col>
      <xdr:colOff>25400</xdr:colOff>
      <xdr:row>23</xdr:row>
      <xdr:rowOff>88900</xdr:rowOff>
    </xdr:to>
    <xdr:cxnSp macro="">
      <xdr:nvCxnSpPr>
        <xdr:cNvPr id="38" name="Łącznik prosty ze strzałką 37">
          <a:extLst>
            <a:ext uri="{FF2B5EF4-FFF2-40B4-BE49-F238E27FC236}">
              <a16:creationId xmlns:a16="http://schemas.microsoft.com/office/drawing/2014/main" id="{D0280842-7E33-448C-9F69-356FA937826A}"/>
            </a:ext>
          </a:extLst>
        </xdr:cNvPr>
        <xdr:cNvCxnSpPr/>
      </xdr:nvCxnSpPr>
      <xdr:spPr>
        <a:xfrm>
          <a:off x="4489450" y="2222500"/>
          <a:ext cx="609600" cy="0"/>
        </a:xfrm>
        <a:prstGeom prst="straightConnector1">
          <a:avLst/>
        </a:prstGeom>
        <a:ln w="190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6350</xdr:colOff>
      <xdr:row>23</xdr:row>
      <xdr:rowOff>88900</xdr:rowOff>
    </xdr:from>
    <xdr:to>
      <xdr:col>4</xdr:col>
      <xdr:colOff>6350</xdr:colOff>
      <xdr:row>23</xdr:row>
      <xdr:rowOff>88900</xdr:rowOff>
    </xdr:to>
    <xdr:cxnSp macro="">
      <xdr:nvCxnSpPr>
        <xdr:cNvPr id="2" name="Łącznik prosty ze strzałką 1">
          <a:extLst>
            <a:ext uri="{FF2B5EF4-FFF2-40B4-BE49-F238E27FC236}">
              <a16:creationId xmlns:a16="http://schemas.microsoft.com/office/drawing/2014/main" id="{1D6AF8F1-A1F6-4B44-A7A6-9D8D8A83F2A5}"/>
            </a:ext>
          </a:extLst>
        </xdr:cNvPr>
        <xdr:cNvCxnSpPr/>
      </xdr:nvCxnSpPr>
      <xdr:spPr>
        <a:xfrm>
          <a:off x="2032000" y="2222500"/>
          <a:ext cx="609600" cy="0"/>
        </a:xfrm>
        <a:prstGeom prst="straightConnector1">
          <a:avLst/>
        </a:prstGeom>
        <a:ln w="190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6350</xdr:colOff>
      <xdr:row>23</xdr:row>
      <xdr:rowOff>88900</xdr:rowOff>
    </xdr:from>
    <xdr:to>
      <xdr:col>4</xdr:col>
      <xdr:colOff>6350</xdr:colOff>
      <xdr:row>23</xdr:row>
      <xdr:rowOff>88900</xdr:rowOff>
    </xdr:to>
    <xdr:cxnSp macro="">
      <xdr:nvCxnSpPr>
        <xdr:cNvPr id="7" name="Łącznik prosty ze strzałką 6">
          <a:extLst>
            <a:ext uri="{FF2B5EF4-FFF2-40B4-BE49-F238E27FC236}">
              <a16:creationId xmlns:a16="http://schemas.microsoft.com/office/drawing/2014/main" id="{FE940724-374A-4552-A654-15F877150909}"/>
            </a:ext>
          </a:extLst>
        </xdr:cNvPr>
        <xdr:cNvCxnSpPr/>
      </xdr:nvCxnSpPr>
      <xdr:spPr>
        <a:xfrm>
          <a:off x="2032000" y="2222500"/>
          <a:ext cx="609600" cy="0"/>
        </a:xfrm>
        <a:prstGeom prst="straightConnector1">
          <a:avLst/>
        </a:prstGeom>
        <a:ln w="19050">
          <a:solidFill>
            <a:schemeClr val="accent5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596900</xdr:colOff>
      <xdr:row>2</xdr:row>
      <xdr:rowOff>95250</xdr:rowOff>
    </xdr:from>
    <xdr:to>
      <xdr:col>4</xdr:col>
      <xdr:colOff>12700</xdr:colOff>
      <xdr:row>2</xdr:row>
      <xdr:rowOff>95250</xdr:rowOff>
    </xdr:to>
    <xdr:cxnSp macro="">
      <xdr:nvCxnSpPr>
        <xdr:cNvPr id="4" name="Łącznik prosty ze strzałką 3">
          <a:extLst>
            <a:ext uri="{FF2B5EF4-FFF2-40B4-BE49-F238E27FC236}">
              <a16:creationId xmlns:a16="http://schemas.microsoft.com/office/drawing/2014/main" id="{A0EBD3D2-9B9A-F59D-F6D4-3676344B257A}"/>
            </a:ext>
          </a:extLst>
        </xdr:cNvPr>
        <xdr:cNvCxnSpPr/>
      </xdr:nvCxnSpPr>
      <xdr:spPr>
        <a:xfrm>
          <a:off x="1206500" y="666750"/>
          <a:ext cx="1168400" cy="0"/>
        </a:xfrm>
        <a:prstGeom prst="straightConnector1">
          <a:avLst/>
        </a:prstGeom>
        <a:ln w="28575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12700</xdr:colOff>
      <xdr:row>2</xdr:row>
      <xdr:rowOff>76200</xdr:rowOff>
    </xdr:from>
    <xdr:to>
      <xdr:col>10</xdr:col>
      <xdr:colOff>19050</xdr:colOff>
      <xdr:row>2</xdr:row>
      <xdr:rowOff>101600</xdr:rowOff>
    </xdr:to>
    <xdr:cxnSp macro="">
      <xdr:nvCxnSpPr>
        <xdr:cNvPr id="5" name="Łącznik prosty ze strzałką 4">
          <a:extLst>
            <a:ext uri="{FF2B5EF4-FFF2-40B4-BE49-F238E27FC236}">
              <a16:creationId xmlns:a16="http://schemas.microsoft.com/office/drawing/2014/main" id="{CB6ED5AC-2B40-4FDA-9F2B-CD40F743A27E}"/>
            </a:ext>
          </a:extLst>
        </xdr:cNvPr>
        <xdr:cNvCxnSpPr/>
      </xdr:nvCxnSpPr>
      <xdr:spPr>
        <a:xfrm flipV="1">
          <a:off x="3454400" y="647700"/>
          <a:ext cx="2927350" cy="25400"/>
        </a:xfrm>
        <a:prstGeom prst="straightConnector1">
          <a:avLst/>
        </a:prstGeom>
        <a:ln w="28575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603250</xdr:colOff>
      <xdr:row>2</xdr:row>
      <xdr:rowOff>88900</xdr:rowOff>
    </xdr:from>
    <xdr:to>
      <xdr:col>21</xdr:col>
      <xdr:colOff>412750</xdr:colOff>
      <xdr:row>2</xdr:row>
      <xdr:rowOff>107950</xdr:rowOff>
    </xdr:to>
    <xdr:cxnSp macro="">
      <xdr:nvCxnSpPr>
        <xdr:cNvPr id="6" name="Łącznik prosty ze strzałką 5">
          <a:extLst>
            <a:ext uri="{FF2B5EF4-FFF2-40B4-BE49-F238E27FC236}">
              <a16:creationId xmlns:a16="http://schemas.microsoft.com/office/drawing/2014/main" id="{E6F82EF9-628B-45AB-A895-A2CE6B95DB1C}"/>
            </a:ext>
          </a:extLst>
        </xdr:cNvPr>
        <xdr:cNvCxnSpPr/>
      </xdr:nvCxnSpPr>
      <xdr:spPr>
        <a:xfrm flipV="1">
          <a:off x="7785100" y="660400"/>
          <a:ext cx="6515100" cy="19050"/>
        </a:xfrm>
        <a:prstGeom prst="straightConnector1">
          <a:avLst/>
        </a:prstGeom>
        <a:ln w="28575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247650</xdr:colOff>
      <xdr:row>3</xdr:row>
      <xdr:rowOff>25400</xdr:rowOff>
    </xdr:from>
    <xdr:to>
      <xdr:col>4</xdr:col>
      <xdr:colOff>254000</xdr:colOff>
      <xdr:row>6</xdr:row>
      <xdr:rowOff>171450</xdr:rowOff>
    </xdr:to>
    <xdr:cxnSp macro="">
      <xdr:nvCxnSpPr>
        <xdr:cNvPr id="8" name="Łącznik prosty ze strzałką 7">
          <a:extLst>
            <a:ext uri="{FF2B5EF4-FFF2-40B4-BE49-F238E27FC236}">
              <a16:creationId xmlns:a16="http://schemas.microsoft.com/office/drawing/2014/main" id="{61D20A33-3C76-EA14-B976-B1C63D93A246}"/>
            </a:ext>
          </a:extLst>
        </xdr:cNvPr>
        <xdr:cNvCxnSpPr/>
      </xdr:nvCxnSpPr>
      <xdr:spPr>
        <a:xfrm flipV="1">
          <a:off x="3079750" y="774700"/>
          <a:ext cx="6350" cy="685800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260350</xdr:colOff>
      <xdr:row>8</xdr:row>
      <xdr:rowOff>31750</xdr:rowOff>
    </xdr:from>
    <xdr:to>
      <xdr:col>4</xdr:col>
      <xdr:colOff>260350</xdr:colOff>
      <xdr:row>12</xdr:row>
      <xdr:rowOff>133350</xdr:rowOff>
    </xdr:to>
    <xdr:cxnSp macro="">
      <xdr:nvCxnSpPr>
        <xdr:cNvPr id="9" name="Łącznik prosty ze strzałką 8">
          <a:extLst>
            <a:ext uri="{FF2B5EF4-FFF2-40B4-BE49-F238E27FC236}">
              <a16:creationId xmlns:a16="http://schemas.microsoft.com/office/drawing/2014/main" id="{5F3A8054-7FBD-4CEA-A703-F919085E554D}"/>
            </a:ext>
          </a:extLst>
        </xdr:cNvPr>
        <xdr:cNvCxnSpPr/>
      </xdr:nvCxnSpPr>
      <xdr:spPr>
        <a:xfrm flipV="1">
          <a:off x="3092450" y="1498600"/>
          <a:ext cx="0" cy="812800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317500</xdr:colOff>
      <xdr:row>16</xdr:row>
      <xdr:rowOff>69850</xdr:rowOff>
    </xdr:from>
    <xdr:to>
      <xdr:col>7</xdr:col>
      <xdr:colOff>82550</xdr:colOff>
      <xdr:row>16</xdr:row>
      <xdr:rowOff>82550</xdr:rowOff>
    </xdr:to>
    <xdr:cxnSp macro="">
      <xdr:nvCxnSpPr>
        <xdr:cNvPr id="11" name="Łącznik prosty ze strzałką 10">
          <a:extLst>
            <a:ext uri="{FF2B5EF4-FFF2-40B4-BE49-F238E27FC236}">
              <a16:creationId xmlns:a16="http://schemas.microsoft.com/office/drawing/2014/main" id="{EAC9E78B-F8D2-4D35-BBBD-8A401E15DA08}"/>
            </a:ext>
          </a:extLst>
        </xdr:cNvPr>
        <xdr:cNvCxnSpPr/>
      </xdr:nvCxnSpPr>
      <xdr:spPr>
        <a:xfrm>
          <a:off x="3149600" y="2959100"/>
          <a:ext cx="1593850" cy="12700"/>
        </a:xfrm>
        <a:prstGeom prst="straightConnector1">
          <a:avLst/>
        </a:prstGeom>
        <a:ln w="28575">
          <a:solidFill>
            <a:srgbClr val="9F115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16</xdr:row>
      <xdr:rowOff>82550</xdr:rowOff>
    </xdr:from>
    <xdr:to>
      <xdr:col>11</xdr:col>
      <xdr:colOff>419100</xdr:colOff>
      <xdr:row>16</xdr:row>
      <xdr:rowOff>82550</xdr:rowOff>
    </xdr:to>
    <xdr:cxnSp macro="">
      <xdr:nvCxnSpPr>
        <xdr:cNvPr id="12" name="Łącznik prosty ze strzałką 11">
          <a:extLst>
            <a:ext uri="{FF2B5EF4-FFF2-40B4-BE49-F238E27FC236}">
              <a16:creationId xmlns:a16="http://schemas.microsoft.com/office/drawing/2014/main" id="{10609736-FA6F-486A-B502-081A3FF4E795}"/>
            </a:ext>
          </a:extLst>
        </xdr:cNvPr>
        <xdr:cNvCxnSpPr/>
      </xdr:nvCxnSpPr>
      <xdr:spPr>
        <a:xfrm>
          <a:off x="5270500" y="2965450"/>
          <a:ext cx="1638300" cy="0"/>
        </a:xfrm>
        <a:prstGeom prst="straightConnector1">
          <a:avLst/>
        </a:prstGeom>
        <a:ln w="28575">
          <a:solidFill>
            <a:srgbClr val="9F115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590550</xdr:colOff>
      <xdr:row>16</xdr:row>
      <xdr:rowOff>76200</xdr:rowOff>
    </xdr:from>
    <xdr:to>
      <xdr:col>4</xdr:col>
      <xdr:colOff>196850</xdr:colOff>
      <xdr:row>16</xdr:row>
      <xdr:rowOff>88900</xdr:rowOff>
    </xdr:to>
    <xdr:cxnSp macro="">
      <xdr:nvCxnSpPr>
        <xdr:cNvPr id="16" name="Łącznik prosty ze strzałką 15">
          <a:extLst>
            <a:ext uri="{FF2B5EF4-FFF2-40B4-BE49-F238E27FC236}">
              <a16:creationId xmlns:a16="http://schemas.microsoft.com/office/drawing/2014/main" id="{5D8D52C5-28FD-41B3-B2F0-842BE73EBA97}"/>
            </a:ext>
          </a:extLst>
        </xdr:cNvPr>
        <xdr:cNvCxnSpPr/>
      </xdr:nvCxnSpPr>
      <xdr:spPr>
        <a:xfrm flipV="1">
          <a:off x="1200150" y="2965450"/>
          <a:ext cx="1828800" cy="12700"/>
        </a:xfrm>
        <a:prstGeom prst="straightConnector1">
          <a:avLst/>
        </a:prstGeom>
        <a:ln w="28575">
          <a:solidFill>
            <a:srgbClr val="9F115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247650</xdr:colOff>
      <xdr:row>13</xdr:row>
      <xdr:rowOff>165100</xdr:rowOff>
    </xdr:from>
    <xdr:to>
      <xdr:col>4</xdr:col>
      <xdr:colOff>266700</xdr:colOff>
      <xdr:row>21</xdr:row>
      <xdr:rowOff>6350</xdr:rowOff>
    </xdr:to>
    <xdr:cxnSp macro="">
      <xdr:nvCxnSpPr>
        <xdr:cNvPr id="19" name="Łącznik prosty ze strzałką 18">
          <a:extLst>
            <a:ext uri="{FF2B5EF4-FFF2-40B4-BE49-F238E27FC236}">
              <a16:creationId xmlns:a16="http://schemas.microsoft.com/office/drawing/2014/main" id="{1FCD88F7-3EA3-D8CF-D1A5-64597892D50A}"/>
            </a:ext>
          </a:extLst>
        </xdr:cNvPr>
        <xdr:cNvCxnSpPr/>
      </xdr:nvCxnSpPr>
      <xdr:spPr>
        <a:xfrm flipV="1">
          <a:off x="3079750" y="2520950"/>
          <a:ext cx="19050" cy="1270000"/>
        </a:xfrm>
        <a:prstGeom prst="straightConnector1">
          <a:avLst/>
        </a:prstGeom>
        <a:ln w="28575">
          <a:solidFill>
            <a:schemeClr val="accent3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13</xdr:row>
      <xdr:rowOff>133350</xdr:rowOff>
    </xdr:from>
    <xdr:to>
      <xdr:col>3</xdr:col>
      <xdr:colOff>330200</xdr:colOff>
      <xdr:row>16</xdr:row>
      <xdr:rowOff>82550</xdr:rowOff>
    </xdr:to>
    <xdr:cxnSp macro="">
      <xdr:nvCxnSpPr>
        <xdr:cNvPr id="26" name="Łącznik prosty 25">
          <a:extLst>
            <a:ext uri="{FF2B5EF4-FFF2-40B4-BE49-F238E27FC236}">
              <a16:creationId xmlns:a16="http://schemas.microsoft.com/office/drawing/2014/main" id="{714ECD24-A6EB-F8EA-532C-DEF123DE7DAB}"/>
            </a:ext>
          </a:extLst>
        </xdr:cNvPr>
        <xdr:cNvCxnSpPr/>
      </xdr:nvCxnSpPr>
      <xdr:spPr>
        <a:xfrm>
          <a:off x="2019300" y="2482850"/>
          <a:ext cx="6350" cy="482600"/>
        </a:xfrm>
        <a:prstGeom prst="line">
          <a:avLst/>
        </a:prstGeom>
        <a:ln w="28575">
          <a:solidFill>
            <a:srgbClr val="9F1155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13</xdr:row>
      <xdr:rowOff>120650</xdr:rowOff>
    </xdr:from>
    <xdr:to>
      <xdr:col>3</xdr:col>
      <xdr:colOff>1098550</xdr:colOff>
      <xdr:row>13</xdr:row>
      <xdr:rowOff>127000</xdr:rowOff>
    </xdr:to>
    <xdr:cxnSp macro="">
      <xdr:nvCxnSpPr>
        <xdr:cNvPr id="27" name="Łącznik prosty ze strzałką 26">
          <a:extLst>
            <a:ext uri="{FF2B5EF4-FFF2-40B4-BE49-F238E27FC236}">
              <a16:creationId xmlns:a16="http://schemas.microsoft.com/office/drawing/2014/main" id="{3687A4F5-FFF0-4CF3-AF9A-9B7490381301}"/>
            </a:ext>
          </a:extLst>
        </xdr:cNvPr>
        <xdr:cNvCxnSpPr/>
      </xdr:nvCxnSpPr>
      <xdr:spPr>
        <a:xfrm>
          <a:off x="2012950" y="2470150"/>
          <a:ext cx="781050" cy="6350"/>
        </a:xfrm>
        <a:prstGeom prst="straightConnector1">
          <a:avLst/>
        </a:prstGeom>
        <a:ln w="28575">
          <a:solidFill>
            <a:srgbClr val="9F115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19</xdr:row>
      <xdr:rowOff>82550</xdr:rowOff>
    </xdr:from>
    <xdr:to>
      <xdr:col>16</xdr:col>
      <xdr:colOff>603250</xdr:colOff>
      <xdr:row>19</xdr:row>
      <xdr:rowOff>133350</xdr:rowOff>
    </xdr:to>
    <xdr:cxnSp macro="">
      <xdr:nvCxnSpPr>
        <xdr:cNvPr id="30" name="Łącznik prosty ze strzałką 29">
          <a:extLst>
            <a:ext uri="{FF2B5EF4-FFF2-40B4-BE49-F238E27FC236}">
              <a16:creationId xmlns:a16="http://schemas.microsoft.com/office/drawing/2014/main" id="{62D9554A-FEC6-48DD-9376-8757A1D3507C}"/>
            </a:ext>
          </a:extLst>
        </xdr:cNvPr>
        <xdr:cNvCxnSpPr/>
      </xdr:nvCxnSpPr>
      <xdr:spPr>
        <a:xfrm flipV="1">
          <a:off x="3117850" y="3689350"/>
          <a:ext cx="8324850" cy="50800"/>
        </a:xfrm>
        <a:prstGeom prst="straightConnector1">
          <a:avLst/>
        </a:prstGeom>
        <a:ln w="28575">
          <a:solidFill>
            <a:schemeClr val="accent3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463550</xdr:colOff>
      <xdr:row>0</xdr:row>
      <xdr:rowOff>381000</xdr:rowOff>
    </xdr:from>
    <xdr:to>
      <xdr:col>3</xdr:col>
      <xdr:colOff>476250</xdr:colOff>
      <xdr:row>6</xdr:row>
      <xdr:rowOff>12700</xdr:rowOff>
    </xdr:to>
    <xdr:cxnSp macro="">
      <xdr:nvCxnSpPr>
        <xdr:cNvPr id="40" name="Łącznik prosty ze strzałką 39">
          <a:extLst>
            <a:ext uri="{FF2B5EF4-FFF2-40B4-BE49-F238E27FC236}">
              <a16:creationId xmlns:a16="http://schemas.microsoft.com/office/drawing/2014/main" id="{99B13DA4-E990-3DA6-9D40-B53F4FF957D1}"/>
            </a:ext>
          </a:extLst>
        </xdr:cNvPr>
        <xdr:cNvCxnSpPr/>
      </xdr:nvCxnSpPr>
      <xdr:spPr>
        <a:xfrm>
          <a:off x="2159000" y="381000"/>
          <a:ext cx="12700" cy="742950"/>
        </a:xfrm>
        <a:prstGeom prst="straightConnector1">
          <a:avLst/>
        </a:prstGeom>
        <a:ln w="38100">
          <a:solidFill>
            <a:schemeClr val="accent2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4</xdr:row>
      <xdr:rowOff>127000</xdr:rowOff>
    </xdr:from>
    <xdr:to>
      <xdr:col>8</xdr:col>
      <xdr:colOff>25400</xdr:colOff>
      <xdr:row>13</xdr:row>
      <xdr:rowOff>146050</xdr:rowOff>
    </xdr:to>
    <xdr:cxnSp macro="">
      <xdr:nvCxnSpPr>
        <xdr:cNvPr id="42" name="Łącznik prosty ze strzałką 41">
          <a:extLst>
            <a:ext uri="{FF2B5EF4-FFF2-40B4-BE49-F238E27FC236}">
              <a16:creationId xmlns:a16="http://schemas.microsoft.com/office/drawing/2014/main" id="{E33D5A8E-C44E-43DD-9D1F-7B5CF2935175}"/>
            </a:ext>
          </a:extLst>
        </xdr:cNvPr>
        <xdr:cNvCxnSpPr/>
      </xdr:nvCxnSpPr>
      <xdr:spPr>
        <a:xfrm flipH="1" flipV="1">
          <a:off x="5772150" y="876300"/>
          <a:ext cx="6350" cy="1625600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590550</xdr:colOff>
      <xdr:row>16</xdr:row>
      <xdr:rowOff>76200</xdr:rowOff>
    </xdr:from>
    <xdr:to>
      <xdr:col>8</xdr:col>
      <xdr:colOff>196850</xdr:colOff>
      <xdr:row>16</xdr:row>
      <xdr:rowOff>88900</xdr:rowOff>
    </xdr:to>
    <xdr:cxnSp macro="">
      <xdr:nvCxnSpPr>
        <xdr:cNvPr id="43" name="Łącznik prosty ze strzałką 42">
          <a:extLst>
            <a:ext uri="{FF2B5EF4-FFF2-40B4-BE49-F238E27FC236}">
              <a16:creationId xmlns:a16="http://schemas.microsoft.com/office/drawing/2014/main" id="{5D87D6EF-B561-48D3-9F68-52AE4E17F56F}"/>
            </a:ext>
          </a:extLst>
        </xdr:cNvPr>
        <xdr:cNvCxnSpPr/>
      </xdr:nvCxnSpPr>
      <xdr:spPr>
        <a:xfrm flipV="1">
          <a:off x="4032250" y="3143250"/>
          <a:ext cx="2127250" cy="12700"/>
        </a:xfrm>
        <a:prstGeom prst="straightConnector1">
          <a:avLst/>
        </a:prstGeom>
        <a:ln w="28575">
          <a:solidFill>
            <a:srgbClr val="9F115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114300</xdr:colOff>
      <xdr:row>13</xdr:row>
      <xdr:rowOff>114300</xdr:rowOff>
    </xdr:from>
    <xdr:to>
      <xdr:col>7</xdr:col>
      <xdr:colOff>120650</xdr:colOff>
      <xdr:row>16</xdr:row>
      <xdr:rowOff>63500</xdr:rowOff>
    </xdr:to>
    <xdr:cxnSp macro="">
      <xdr:nvCxnSpPr>
        <xdr:cNvPr id="44" name="Łącznik prosty 43">
          <a:extLst>
            <a:ext uri="{FF2B5EF4-FFF2-40B4-BE49-F238E27FC236}">
              <a16:creationId xmlns:a16="http://schemas.microsoft.com/office/drawing/2014/main" id="{121E1F9A-0446-4128-AFC1-BD695F9AB029}"/>
            </a:ext>
          </a:extLst>
        </xdr:cNvPr>
        <xdr:cNvCxnSpPr/>
      </xdr:nvCxnSpPr>
      <xdr:spPr>
        <a:xfrm>
          <a:off x="4775200" y="2470150"/>
          <a:ext cx="6350" cy="482600"/>
        </a:xfrm>
        <a:prstGeom prst="line">
          <a:avLst/>
        </a:prstGeom>
        <a:ln w="28575">
          <a:solidFill>
            <a:srgbClr val="9F1155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114300</xdr:colOff>
      <xdr:row>13</xdr:row>
      <xdr:rowOff>127000</xdr:rowOff>
    </xdr:from>
    <xdr:to>
      <xdr:col>8</xdr:col>
      <xdr:colOff>0</xdr:colOff>
      <xdr:row>13</xdr:row>
      <xdr:rowOff>139700</xdr:rowOff>
    </xdr:to>
    <xdr:cxnSp macro="">
      <xdr:nvCxnSpPr>
        <xdr:cNvPr id="45" name="Łącznik prosty ze strzałką 44">
          <a:extLst>
            <a:ext uri="{FF2B5EF4-FFF2-40B4-BE49-F238E27FC236}">
              <a16:creationId xmlns:a16="http://schemas.microsoft.com/office/drawing/2014/main" id="{51694F3F-DD06-4F48-9C93-F8D4CDDF0A0C}"/>
            </a:ext>
          </a:extLst>
        </xdr:cNvPr>
        <xdr:cNvCxnSpPr/>
      </xdr:nvCxnSpPr>
      <xdr:spPr>
        <a:xfrm flipV="1">
          <a:off x="4775200" y="2482850"/>
          <a:ext cx="495300" cy="12700"/>
        </a:xfrm>
        <a:prstGeom prst="straightConnector1">
          <a:avLst/>
        </a:prstGeom>
        <a:ln w="28575">
          <a:solidFill>
            <a:srgbClr val="9F115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158750</xdr:colOff>
      <xdr:row>5</xdr:row>
      <xdr:rowOff>6350</xdr:rowOff>
    </xdr:from>
    <xdr:to>
      <xdr:col>13</xdr:col>
      <xdr:colOff>171450</xdr:colOff>
      <xdr:row>13</xdr:row>
      <xdr:rowOff>50800</xdr:rowOff>
    </xdr:to>
    <xdr:cxnSp macro="">
      <xdr:nvCxnSpPr>
        <xdr:cNvPr id="46" name="Łącznik prosty ze strzałką 45">
          <a:extLst>
            <a:ext uri="{FF2B5EF4-FFF2-40B4-BE49-F238E27FC236}">
              <a16:creationId xmlns:a16="http://schemas.microsoft.com/office/drawing/2014/main" id="{63ED4594-7FB5-4080-8E4D-7AE802AEF650}"/>
            </a:ext>
          </a:extLst>
        </xdr:cNvPr>
        <xdr:cNvCxnSpPr/>
      </xdr:nvCxnSpPr>
      <xdr:spPr>
        <a:xfrm flipH="1" flipV="1">
          <a:off x="8350250" y="1111250"/>
          <a:ext cx="12700" cy="1473200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27244</xdr:colOff>
      <xdr:row>16</xdr:row>
      <xdr:rowOff>51209</xdr:rowOff>
    </xdr:from>
    <xdr:to>
      <xdr:col>14</xdr:col>
      <xdr:colOff>583790</xdr:colOff>
      <xdr:row>16</xdr:row>
      <xdr:rowOff>58174</xdr:rowOff>
    </xdr:to>
    <xdr:cxnSp macro="">
      <xdr:nvCxnSpPr>
        <xdr:cNvPr id="47" name="Łącznik prosty ze strzałką 46">
          <a:extLst>
            <a:ext uri="{FF2B5EF4-FFF2-40B4-BE49-F238E27FC236}">
              <a16:creationId xmlns:a16="http://schemas.microsoft.com/office/drawing/2014/main" id="{551CED38-BDA3-41A6-93AE-C50622760AE5}"/>
            </a:ext>
          </a:extLst>
        </xdr:cNvPr>
        <xdr:cNvCxnSpPr/>
      </xdr:nvCxnSpPr>
      <xdr:spPr>
        <a:xfrm flipV="1">
          <a:off x="8277123" y="3139153"/>
          <a:ext cx="2384732" cy="6965"/>
        </a:xfrm>
        <a:prstGeom prst="straightConnector1">
          <a:avLst/>
        </a:prstGeom>
        <a:ln w="28575">
          <a:solidFill>
            <a:srgbClr val="9F115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13</xdr:row>
      <xdr:rowOff>101600</xdr:rowOff>
    </xdr:from>
    <xdr:to>
      <xdr:col>12</xdr:col>
      <xdr:colOff>6350</xdr:colOff>
      <xdr:row>16</xdr:row>
      <xdr:rowOff>50800</xdr:rowOff>
    </xdr:to>
    <xdr:cxnSp macro="">
      <xdr:nvCxnSpPr>
        <xdr:cNvPr id="48" name="Łącznik prosty 47">
          <a:extLst>
            <a:ext uri="{FF2B5EF4-FFF2-40B4-BE49-F238E27FC236}">
              <a16:creationId xmlns:a16="http://schemas.microsoft.com/office/drawing/2014/main" id="{D080322C-F248-4F80-8C0E-38BBA09E3FFE}"/>
            </a:ext>
          </a:extLst>
        </xdr:cNvPr>
        <xdr:cNvCxnSpPr/>
      </xdr:nvCxnSpPr>
      <xdr:spPr>
        <a:xfrm>
          <a:off x="8401050" y="2635250"/>
          <a:ext cx="6350" cy="482600"/>
        </a:xfrm>
        <a:prstGeom prst="line">
          <a:avLst/>
        </a:prstGeom>
        <a:ln w="28575">
          <a:solidFill>
            <a:srgbClr val="9F1155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31750</xdr:colOff>
      <xdr:row>13</xdr:row>
      <xdr:rowOff>114300</xdr:rowOff>
    </xdr:from>
    <xdr:to>
      <xdr:col>13</xdr:col>
      <xdr:colOff>190500</xdr:colOff>
      <xdr:row>13</xdr:row>
      <xdr:rowOff>120650</xdr:rowOff>
    </xdr:to>
    <xdr:cxnSp macro="">
      <xdr:nvCxnSpPr>
        <xdr:cNvPr id="49" name="Łącznik prosty ze strzałką 48">
          <a:extLst>
            <a:ext uri="{FF2B5EF4-FFF2-40B4-BE49-F238E27FC236}">
              <a16:creationId xmlns:a16="http://schemas.microsoft.com/office/drawing/2014/main" id="{B82EA211-4B00-472F-A3B1-E057F3175C30}"/>
            </a:ext>
          </a:extLst>
        </xdr:cNvPr>
        <xdr:cNvCxnSpPr/>
      </xdr:nvCxnSpPr>
      <xdr:spPr>
        <a:xfrm flipV="1">
          <a:off x="8432800" y="2647950"/>
          <a:ext cx="768350" cy="6350"/>
        </a:xfrm>
        <a:prstGeom prst="straightConnector1">
          <a:avLst/>
        </a:prstGeom>
        <a:ln w="28575">
          <a:solidFill>
            <a:srgbClr val="9F115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63500</xdr:colOff>
      <xdr:row>5</xdr:row>
      <xdr:rowOff>12700</xdr:rowOff>
    </xdr:from>
    <xdr:to>
      <xdr:col>10</xdr:col>
      <xdr:colOff>279400</xdr:colOff>
      <xdr:row>5</xdr:row>
      <xdr:rowOff>12700</xdr:rowOff>
    </xdr:to>
    <xdr:cxnSp macro="">
      <xdr:nvCxnSpPr>
        <xdr:cNvPr id="54" name="Łącznik prosty ze strzałką 53">
          <a:extLst>
            <a:ext uri="{FF2B5EF4-FFF2-40B4-BE49-F238E27FC236}">
              <a16:creationId xmlns:a16="http://schemas.microsoft.com/office/drawing/2014/main" id="{F3BBD1F0-E2AB-4D8A-86BA-1C60595E85B5}"/>
            </a:ext>
          </a:extLst>
        </xdr:cNvPr>
        <xdr:cNvCxnSpPr/>
      </xdr:nvCxnSpPr>
      <xdr:spPr>
        <a:xfrm>
          <a:off x="6026150" y="1117600"/>
          <a:ext cx="1435100" cy="0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260350</xdr:colOff>
      <xdr:row>8</xdr:row>
      <xdr:rowOff>31750</xdr:rowOff>
    </xdr:from>
    <xdr:to>
      <xdr:col>17</xdr:col>
      <xdr:colOff>260350</xdr:colOff>
      <xdr:row>12</xdr:row>
      <xdr:rowOff>133350</xdr:rowOff>
    </xdr:to>
    <xdr:cxnSp macro="">
      <xdr:nvCxnSpPr>
        <xdr:cNvPr id="58" name="Łącznik prosty ze strzałką 57">
          <a:extLst>
            <a:ext uri="{FF2B5EF4-FFF2-40B4-BE49-F238E27FC236}">
              <a16:creationId xmlns:a16="http://schemas.microsoft.com/office/drawing/2014/main" id="{65DCCB28-9B7C-43F7-929C-98767D12A6B2}"/>
            </a:ext>
          </a:extLst>
        </xdr:cNvPr>
        <xdr:cNvCxnSpPr/>
      </xdr:nvCxnSpPr>
      <xdr:spPr>
        <a:xfrm flipV="1">
          <a:off x="8451850" y="1676400"/>
          <a:ext cx="0" cy="812800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590550</xdr:colOff>
      <xdr:row>16</xdr:row>
      <xdr:rowOff>76200</xdr:rowOff>
    </xdr:from>
    <xdr:to>
      <xdr:col>17</xdr:col>
      <xdr:colOff>196850</xdr:colOff>
      <xdr:row>16</xdr:row>
      <xdr:rowOff>88900</xdr:rowOff>
    </xdr:to>
    <xdr:cxnSp macro="">
      <xdr:nvCxnSpPr>
        <xdr:cNvPr id="59" name="Łącznik prosty ze strzałką 58">
          <a:extLst>
            <a:ext uri="{FF2B5EF4-FFF2-40B4-BE49-F238E27FC236}">
              <a16:creationId xmlns:a16="http://schemas.microsoft.com/office/drawing/2014/main" id="{47CE3E52-8DCA-4C71-9C29-92A74C5C9F52}"/>
            </a:ext>
          </a:extLst>
        </xdr:cNvPr>
        <xdr:cNvCxnSpPr/>
      </xdr:nvCxnSpPr>
      <xdr:spPr>
        <a:xfrm flipV="1">
          <a:off x="6953250" y="3143250"/>
          <a:ext cx="1435100" cy="12700"/>
        </a:xfrm>
        <a:prstGeom prst="straightConnector1">
          <a:avLst/>
        </a:prstGeom>
        <a:ln w="28575">
          <a:solidFill>
            <a:srgbClr val="9F115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323850</xdr:colOff>
      <xdr:row>13</xdr:row>
      <xdr:rowOff>133350</xdr:rowOff>
    </xdr:from>
    <xdr:to>
      <xdr:col>16</xdr:col>
      <xdr:colOff>330200</xdr:colOff>
      <xdr:row>16</xdr:row>
      <xdr:rowOff>82550</xdr:rowOff>
    </xdr:to>
    <xdr:cxnSp macro="">
      <xdr:nvCxnSpPr>
        <xdr:cNvPr id="60" name="Łącznik prosty 59">
          <a:extLst>
            <a:ext uri="{FF2B5EF4-FFF2-40B4-BE49-F238E27FC236}">
              <a16:creationId xmlns:a16="http://schemas.microsoft.com/office/drawing/2014/main" id="{14D1741C-969D-47A1-9C77-7A6883D5564B}"/>
            </a:ext>
          </a:extLst>
        </xdr:cNvPr>
        <xdr:cNvCxnSpPr/>
      </xdr:nvCxnSpPr>
      <xdr:spPr>
        <a:xfrm>
          <a:off x="7905750" y="2667000"/>
          <a:ext cx="6350" cy="482600"/>
        </a:xfrm>
        <a:prstGeom prst="line">
          <a:avLst/>
        </a:prstGeom>
        <a:ln w="28575">
          <a:solidFill>
            <a:srgbClr val="9F1155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317500</xdr:colOff>
      <xdr:row>13</xdr:row>
      <xdr:rowOff>120650</xdr:rowOff>
    </xdr:from>
    <xdr:to>
      <xdr:col>16</xdr:col>
      <xdr:colOff>1098550</xdr:colOff>
      <xdr:row>13</xdr:row>
      <xdr:rowOff>127000</xdr:rowOff>
    </xdr:to>
    <xdr:cxnSp macro="">
      <xdr:nvCxnSpPr>
        <xdr:cNvPr id="61" name="Łącznik prosty ze strzałką 60">
          <a:extLst>
            <a:ext uri="{FF2B5EF4-FFF2-40B4-BE49-F238E27FC236}">
              <a16:creationId xmlns:a16="http://schemas.microsoft.com/office/drawing/2014/main" id="{BA109216-5825-45FE-B4CF-FAFB07982E44}"/>
            </a:ext>
          </a:extLst>
        </xdr:cNvPr>
        <xdr:cNvCxnSpPr/>
      </xdr:nvCxnSpPr>
      <xdr:spPr>
        <a:xfrm>
          <a:off x="7899400" y="2654300"/>
          <a:ext cx="292100" cy="6350"/>
        </a:xfrm>
        <a:prstGeom prst="straightConnector1">
          <a:avLst/>
        </a:prstGeom>
        <a:ln w="28575">
          <a:solidFill>
            <a:srgbClr val="9F115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425450</xdr:colOff>
      <xdr:row>5</xdr:row>
      <xdr:rowOff>12700</xdr:rowOff>
    </xdr:from>
    <xdr:to>
      <xdr:col>13</xdr:col>
      <xdr:colOff>165100</xdr:colOff>
      <xdr:row>5</xdr:row>
      <xdr:rowOff>19050</xdr:rowOff>
    </xdr:to>
    <xdr:cxnSp macro="">
      <xdr:nvCxnSpPr>
        <xdr:cNvPr id="65" name="Łącznik prosty ze strzałką 64">
          <a:extLst>
            <a:ext uri="{FF2B5EF4-FFF2-40B4-BE49-F238E27FC236}">
              <a16:creationId xmlns:a16="http://schemas.microsoft.com/office/drawing/2014/main" id="{40DBAD7A-97E2-4D1B-82D4-D18194B1B57F}"/>
            </a:ext>
          </a:extLst>
        </xdr:cNvPr>
        <xdr:cNvCxnSpPr/>
      </xdr:nvCxnSpPr>
      <xdr:spPr>
        <a:xfrm flipH="1">
          <a:off x="6788150" y="1117600"/>
          <a:ext cx="1568450" cy="6350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279400</xdr:colOff>
      <xdr:row>2</xdr:row>
      <xdr:rowOff>158750</xdr:rowOff>
    </xdr:from>
    <xdr:to>
      <xdr:col>10</xdr:col>
      <xdr:colOff>279400</xdr:colOff>
      <xdr:row>3</xdr:row>
      <xdr:rowOff>171450</xdr:rowOff>
    </xdr:to>
    <xdr:cxnSp macro="">
      <xdr:nvCxnSpPr>
        <xdr:cNvPr id="69" name="Łącznik prosty ze strzałką 68">
          <a:extLst>
            <a:ext uri="{FF2B5EF4-FFF2-40B4-BE49-F238E27FC236}">
              <a16:creationId xmlns:a16="http://schemas.microsoft.com/office/drawing/2014/main" id="{18348E08-BE4F-4BB5-B2FB-6320E0E5A021}"/>
            </a:ext>
          </a:extLst>
        </xdr:cNvPr>
        <xdr:cNvCxnSpPr/>
      </xdr:nvCxnSpPr>
      <xdr:spPr>
        <a:xfrm flipV="1">
          <a:off x="6851650" y="730250"/>
          <a:ext cx="0" cy="190500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8467</xdr:colOff>
      <xdr:row>13</xdr:row>
      <xdr:rowOff>169333</xdr:rowOff>
    </xdr:from>
    <xdr:to>
      <xdr:col>8</xdr:col>
      <xdr:colOff>25400</xdr:colOff>
      <xdr:row>19</xdr:row>
      <xdr:rowOff>114300</xdr:rowOff>
    </xdr:to>
    <xdr:cxnSp macro="">
      <xdr:nvCxnSpPr>
        <xdr:cNvPr id="78" name="Łącznik prosty ze strzałką 77">
          <a:extLst>
            <a:ext uri="{FF2B5EF4-FFF2-40B4-BE49-F238E27FC236}">
              <a16:creationId xmlns:a16="http://schemas.microsoft.com/office/drawing/2014/main" id="{32E1034C-4EE2-4580-A2BF-D9E62009096C}"/>
            </a:ext>
          </a:extLst>
        </xdr:cNvPr>
        <xdr:cNvCxnSpPr/>
      </xdr:nvCxnSpPr>
      <xdr:spPr>
        <a:xfrm flipH="1" flipV="1">
          <a:off x="6146800" y="2709333"/>
          <a:ext cx="16933" cy="1020234"/>
        </a:xfrm>
        <a:prstGeom prst="straightConnector1">
          <a:avLst/>
        </a:prstGeom>
        <a:ln w="28575">
          <a:solidFill>
            <a:schemeClr val="accent3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16933</xdr:colOff>
      <xdr:row>13</xdr:row>
      <xdr:rowOff>101600</xdr:rowOff>
    </xdr:from>
    <xdr:to>
      <xdr:col>13</xdr:col>
      <xdr:colOff>31750</xdr:colOff>
      <xdr:row>19</xdr:row>
      <xdr:rowOff>95250</xdr:rowOff>
    </xdr:to>
    <xdr:cxnSp macro="">
      <xdr:nvCxnSpPr>
        <xdr:cNvPr id="81" name="Łącznik prosty ze strzałką 80">
          <a:extLst>
            <a:ext uri="{FF2B5EF4-FFF2-40B4-BE49-F238E27FC236}">
              <a16:creationId xmlns:a16="http://schemas.microsoft.com/office/drawing/2014/main" id="{8A16DB3E-5370-430C-89F6-475ADAF2EE4D}"/>
            </a:ext>
          </a:extLst>
        </xdr:cNvPr>
        <xdr:cNvCxnSpPr/>
      </xdr:nvCxnSpPr>
      <xdr:spPr>
        <a:xfrm flipH="1" flipV="1">
          <a:off x="9448800" y="2641600"/>
          <a:ext cx="14817" cy="1068917"/>
        </a:xfrm>
        <a:prstGeom prst="straightConnector1">
          <a:avLst/>
        </a:prstGeom>
        <a:ln w="28575">
          <a:solidFill>
            <a:schemeClr val="accent3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541866</xdr:colOff>
      <xdr:row>14</xdr:row>
      <xdr:rowOff>16933</xdr:rowOff>
    </xdr:from>
    <xdr:to>
      <xdr:col>16</xdr:col>
      <xdr:colOff>571500</xdr:colOff>
      <xdr:row>19</xdr:row>
      <xdr:rowOff>63500</xdr:rowOff>
    </xdr:to>
    <xdr:cxnSp macro="">
      <xdr:nvCxnSpPr>
        <xdr:cNvPr id="82" name="Łącznik prosty ze strzałką 81">
          <a:extLst>
            <a:ext uri="{FF2B5EF4-FFF2-40B4-BE49-F238E27FC236}">
              <a16:creationId xmlns:a16="http://schemas.microsoft.com/office/drawing/2014/main" id="{4CD1F26C-A5C5-4AA1-857B-9161667F411C}"/>
            </a:ext>
          </a:extLst>
        </xdr:cNvPr>
        <xdr:cNvCxnSpPr/>
      </xdr:nvCxnSpPr>
      <xdr:spPr>
        <a:xfrm flipH="1" flipV="1">
          <a:off x="11802533" y="2734733"/>
          <a:ext cx="29634" cy="944034"/>
        </a:xfrm>
        <a:prstGeom prst="straightConnector1">
          <a:avLst/>
        </a:prstGeom>
        <a:ln w="28575">
          <a:solidFill>
            <a:schemeClr val="accent3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19050</xdr:colOff>
      <xdr:row>7</xdr:row>
      <xdr:rowOff>63500</xdr:rowOff>
    </xdr:from>
    <xdr:to>
      <xdr:col>20</xdr:col>
      <xdr:colOff>31750</xdr:colOff>
      <xdr:row>7</xdr:row>
      <xdr:rowOff>76200</xdr:rowOff>
    </xdr:to>
    <xdr:cxnSp macro="">
      <xdr:nvCxnSpPr>
        <xdr:cNvPr id="85" name="Łącznik prosty ze strzałką 84">
          <a:extLst>
            <a:ext uri="{FF2B5EF4-FFF2-40B4-BE49-F238E27FC236}">
              <a16:creationId xmlns:a16="http://schemas.microsoft.com/office/drawing/2014/main" id="{6C2E06DE-A656-438D-9C1A-0C9A4960C1CB}"/>
            </a:ext>
          </a:extLst>
        </xdr:cNvPr>
        <xdr:cNvCxnSpPr/>
      </xdr:nvCxnSpPr>
      <xdr:spPr>
        <a:xfrm flipV="1">
          <a:off x="12077700" y="1530350"/>
          <a:ext cx="1174750" cy="12700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12700</xdr:colOff>
      <xdr:row>7</xdr:row>
      <xdr:rowOff>69850</xdr:rowOff>
    </xdr:from>
    <xdr:to>
      <xdr:col>20</xdr:col>
      <xdr:colOff>19050</xdr:colOff>
      <xdr:row>9</xdr:row>
      <xdr:rowOff>6350</xdr:rowOff>
    </xdr:to>
    <xdr:cxnSp macro="">
      <xdr:nvCxnSpPr>
        <xdr:cNvPr id="91" name="Łącznik prosty ze strzałką 90">
          <a:extLst>
            <a:ext uri="{FF2B5EF4-FFF2-40B4-BE49-F238E27FC236}">
              <a16:creationId xmlns:a16="http://schemas.microsoft.com/office/drawing/2014/main" id="{4551B571-F6EC-469C-A92F-F7194F8741C6}"/>
            </a:ext>
          </a:extLst>
        </xdr:cNvPr>
        <xdr:cNvCxnSpPr/>
      </xdr:nvCxnSpPr>
      <xdr:spPr>
        <a:xfrm>
          <a:off x="13233400" y="1536700"/>
          <a:ext cx="6350" cy="292100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158750</xdr:colOff>
      <xdr:row>2</xdr:row>
      <xdr:rowOff>107950</xdr:rowOff>
    </xdr:from>
    <xdr:to>
      <xdr:col>20</xdr:col>
      <xdr:colOff>171450</xdr:colOff>
      <xdr:row>5</xdr:row>
      <xdr:rowOff>25400</xdr:rowOff>
    </xdr:to>
    <xdr:cxnSp macro="">
      <xdr:nvCxnSpPr>
        <xdr:cNvPr id="95" name="Łącznik prosty ze strzałką 94">
          <a:extLst>
            <a:ext uri="{FF2B5EF4-FFF2-40B4-BE49-F238E27FC236}">
              <a16:creationId xmlns:a16="http://schemas.microsoft.com/office/drawing/2014/main" id="{45F26F46-40B3-45DB-8360-2E0D56ACC963}"/>
            </a:ext>
          </a:extLst>
        </xdr:cNvPr>
        <xdr:cNvCxnSpPr/>
      </xdr:nvCxnSpPr>
      <xdr:spPr>
        <a:xfrm>
          <a:off x="13436600" y="679450"/>
          <a:ext cx="12700" cy="457200"/>
        </a:xfrm>
        <a:prstGeom prst="straightConnector1">
          <a:avLst/>
        </a:prstGeom>
        <a:ln w="28575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196850</xdr:colOff>
      <xdr:row>6</xdr:row>
      <xdr:rowOff>31750</xdr:rowOff>
    </xdr:from>
    <xdr:to>
      <xdr:col>20</xdr:col>
      <xdr:colOff>209550</xdr:colOff>
      <xdr:row>8</xdr:row>
      <xdr:rowOff>127000</xdr:rowOff>
    </xdr:to>
    <xdr:cxnSp macro="">
      <xdr:nvCxnSpPr>
        <xdr:cNvPr id="100" name="Łącznik prosty ze strzałką 99">
          <a:extLst>
            <a:ext uri="{FF2B5EF4-FFF2-40B4-BE49-F238E27FC236}">
              <a16:creationId xmlns:a16="http://schemas.microsoft.com/office/drawing/2014/main" id="{EBAB8A20-8B3B-4E37-914D-CA99C37F68FD}"/>
            </a:ext>
          </a:extLst>
        </xdr:cNvPr>
        <xdr:cNvCxnSpPr/>
      </xdr:nvCxnSpPr>
      <xdr:spPr>
        <a:xfrm>
          <a:off x="13474700" y="1320800"/>
          <a:ext cx="12700" cy="450850"/>
        </a:xfrm>
        <a:prstGeom prst="straightConnector1">
          <a:avLst/>
        </a:prstGeom>
        <a:ln w="28575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6350</xdr:colOff>
      <xdr:row>15</xdr:row>
      <xdr:rowOff>95250</xdr:rowOff>
    </xdr:from>
    <xdr:to>
      <xdr:col>22</xdr:col>
      <xdr:colOff>0</xdr:colOff>
      <xdr:row>15</xdr:row>
      <xdr:rowOff>95250</xdr:rowOff>
    </xdr:to>
    <xdr:cxnSp macro="">
      <xdr:nvCxnSpPr>
        <xdr:cNvPr id="103" name="Łącznik prosty ze strzałką 102">
          <a:extLst>
            <a:ext uri="{FF2B5EF4-FFF2-40B4-BE49-F238E27FC236}">
              <a16:creationId xmlns:a16="http://schemas.microsoft.com/office/drawing/2014/main" id="{5C99A5AF-07AC-427A-9229-588C1CCABFF0}"/>
            </a:ext>
          </a:extLst>
        </xdr:cNvPr>
        <xdr:cNvCxnSpPr/>
      </xdr:nvCxnSpPr>
      <xdr:spPr>
        <a:xfrm>
          <a:off x="13836650" y="2984500"/>
          <a:ext cx="603250" cy="0"/>
        </a:xfrm>
        <a:prstGeom prst="straightConnector1">
          <a:avLst/>
        </a:prstGeom>
        <a:ln w="28575">
          <a:solidFill>
            <a:srgbClr val="9F115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215900</xdr:colOff>
      <xdr:row>10</xdr:row>
      <xdr:rowOff>82550</xdr:rowOff>
    </xdr:from>
    <xdr:to>
      <xdr:col>20</xdr:col>
      <xdr:colOff>228600</xdr:colOff>
      <xdr:row>15</xdr:row>
      <xdr:rowOff>69850</xdr:rowOff>
    </xdr:to>
    <xdr:cxnSp macro="">
      <xdr:nvCxnSpPr>
        <xdr:cNvPr id="104" name="Łącznik prosty ze strzałką 103">
          <a:extLst>
            <a:ext uri="{FF2B5EF4-FFF2-40B4-BE49-F238E27FC236}">
              <a16:creationId xmlns:a16="http://schemas.microsoft.com/office/drawing/2014/main" id="{8623BB24-9237-4285-B4D4-CE1C6F46E4DD}"/>
            </a:ext>
          </a:extLst>
        </xdr:cNvPr>
        <xdr:cNvCxnSpPr/>
      </xdr:nvCxnSpPr>
      <xdr:spPr>
        <a:xfrm>
          <a:off x="13436600" y="2082800"/>
          <a:ext cx="12700" cy="876300"/>
        </a:xfrm>
        <a:prstGeom prst="straightConnector1">
          <a:avLst/>
        </a:prstGeom>
        <a:ln w="28575">
          <a:solidFill>
            <a:srgbClr val="9F115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838200</xdr:colOff>
      <xdr:row>1</xdr:row>
      <xdr:rowOff>0</xdr:rowOff>
    </xdr:from>
    <xdr:to>
      <xdr:col>9</xdr:col>
      <xdr:colOff>571500</xdr:colOff>
      <xdr:row>4</xdr:row>
      <xdr:rowOff>38100</xdr:rowOff>
    </xdr:to>
    <xdr:cxnSp macro="">
      <xdr:nvCxnSpPr>
        <xdr:cNvPr id="113" name="Łącznik prosty ze strzałką 112">
          <a:extLst>
            <a:ext uri="{FF2B5EF4-FFF2-40B4-BE49-F238E27FC236}">
              <a16:creationId xmlns:a16="http://schemas.microsoft.com/office/drawing/2014/main" id="{2A9A4673-2591-443A-2B73-31AC75C1B1B6}"/>
            </a:ext>
          </a:extLst>
        </xdr:cNvPr>
        <xdr:cNvCxnSpPr/>
      </xdr:nvCxnSpPr>
      <xdr:spPr>
        <a:xfrm>
          <a:off x="5905500" y="393700"/>
          <a:ext cx="1238250" cy="5715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203200</xdr:colOff>
      <xdr:row>21</xdr:row>
      <xdr:rowOff>82550</xdr:rowOff>
    </xdr:from>
    <xdr:to>
      <xdr:col>5</xdr:col>
      <xdr:colOff>571500</xdr:colOff>
      <xdr:row>21</xdr:row>
      <xdr:rowOff>114300</xdr:rowOff>
    </xdr:to>
    <xdr:cxnSp macro="">
      <xdr:nvCxnSpPr>
        <xdr:cNvPr id="117" name="Łącznik prosty ze strzałką 116">
          <a:extLst>
            <a:ext uri="{FF2B5EF4-FFF2-40B4-BE49-F238E27FC236}">
              <a16:creationId xmlns:a16="http://schemas.microsoft.com/office/drawing/2014/main" id="{42E6F5CB-83F3-BF2B-43D0-0F10DBAEF53A}"/>
            </a:ext>
          </a:extLst>
        </xdr:cNvPr>
        <xdr:cNvCxnSpPr/>
      </xdr:nvCxnSpPr>
      <xdr:spPr>
        <a:xfrm flipH="1">
          <a:off x="3822700" y="4044950"/>
          <a:ext cx="368300" cy="31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596900</xdr:colOff>
      <xdr:row>2</xdr:row>
      <xdr:rowOff>95250</xdr:rowOff>
    </xdr:from>
    <xdr:to>
      <xdr:col>4</xdr:col>
      <xdr:colOff>12700</xdr:colOff>
      <xdr:row>2</xdr:row>
      <xdr:rowOff>95250</xdr:rowOff>
    </xdr:to>
    <xdr:cxnSp macro="">
      <xdr:nvCxnSpPr>
        <xdr:cNvPr id="2" name="Łącznik prosty ze strzałką 1">
          <a:extLst>
            <a:ext uri="{FF2B5EF4-FFF2-40B4-BE49-F238E27FC236}">
              <a16:creationId xmlns:a16="http://schemas.microsoft.com/office/drawing/2014/main" id="{7E19EF8C-4467-4DA6-B3C8-956C2B20F8C6}"/>
            </a:ext>
          </a:extLst>
        </xdr:cNvPr>
        <xdr:cNvCxnSpPr/>
      </xdr:nvCxnSpPr>
      <xdr:spPr>
        <a:xfrm>
          <a:off x="1384300" y="666750"/>
          <a:ext cx="1638300" cy="0"/>
        </a:xfrm>
        <a:prstGeom prst="straightConnector1">
          <a:avLst/>
        </a:prstGeom>
        <a:ln w="28575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12700</xdr:colOff>
      <xdr:row>2</xdr:row>
      <xdr:rowOff>76200</xdr:rowOff>
    </xdr:from>
    <xdr:to>
      <xdr:col>10</xdr:col>
      <xdr:colOff>19050</xdr:colOff>
      <xdr:row>2</xdr:row>
      <xdr:rowOff>101600</xdr:rowOff>
    </xdr:to>
    <xdr:cxnSp macro="">
      <xdr:nvCxnSpPr>
        <xdr:cNvPr id="3" name="Łącznik prosty ze strzałką 2">
          <a:extLst>
            <a:ext uri="{FF2B5EF4-FFF2-40B4-BE49-F238E27FC236}">
              <a16:creationId xmlns:a16="http://schemas.microsoft.com/office/drawing/2014/main" id="{841549CD-2F31-4702-ADC4-A6229D24AD25}"/>
            </a:ext>
          </a:extLst>
        </xdr:cNvPr>
        <xdr:cNvCxnSpPr/>
      </xdr:nvCxnSpPr>
      <xdr:spPr>
        <a:xfrm flipV="1">
          <a:off x="3632200" y="647700"/>
          <a:ext cx="4025900" cy="25400"/>
        </a:xfrm>
        <a:prstGeom prst="straightConnector1">
          <a:avLst/>
        </a:prstGeom>
        <a:ln w="28575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603250</xdr:colOff>
      <xdr:row>2</xdr:row>
      <xdr:rowOff>88900</xdr:rowOff>
    </xdr:from>
    <xdr:to>
      <xdr:col>21</xdr:col>
      <xdr:colOff>412750</xdr:colOff>
      <xdr:row>2</xdr:row>
      <xdr:rowOff>107950</xdr:rowOff>
    </xdr:to>
    <xdr:cxnSp macro="">
      <xdr:nvCxnSpPr>
        <xdr:cNvPr id="4" name="Łącznik prosty ze strzałką 3">
          <a:extLst>
            <a:ext uri="{FF2B5EF4-FFF2-40B4-BE49-F238E27FC236}">
              <a16:creationId xmlns:a16="http://schemas.microsoft.com/office/drawing/2014/main" id="{9E116CAC-C406-4B9F-87C3-91A35B5A5D1D}"/>
            </a:ext>
          </a:extLst>
        </xdr:cNvPr>
        <xdr:cNvCxnSpPr/>
      </xdr:nvCxnSpPr>
      <xdr:spPr>
        <a:xfrm flipV="1">
          <a:off x="8242300" y="660400"/>
          <a:ext cx="6515100" cy="19050"/>
        </a:xfrm>
        <a:prstGeom prst="straightConnector1">
          <a:avLst/>
        </a:prstGeom>
        <a:ln w="28575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247650</xdr:colOff>
      <xdr:row>3</xdr:row>
      <xdr:rowOff>25400</xdr:rowOff>
    </xdr:from>
    <xdr:to>
      <xdr:col>4</xdr:col>
      <xdr:colOff>254000</xdr:colOff>
      <xdr:row>6</xdr:row>
      <xdr:rowOff>171450</xdr:rowOff>
    </xdr:to>
    <xdr:cxnSp macro="">
      <xdr:nvCxnSpPr>
        <xdr:cNvPr id="5" name="Łącznik prosty ze strzałką 4">
          <a:extLst>
            <a:ext uri="{FF2B5EF4-FFF2-40B4-BE49-F238E27FC236}">
              <a16:creationId xmlns:a16="http://schemas.microsoft.com/office/drawing/2014/main" id="{83721C22-FA45-460E-B272-8212B3D72120}"/>
            </a:ext>
          </a:extLst>
        </xdr:cNvPr>
        <xdr:cNvCxnSpPr/>
      </xdr:nvCxnSpPr>
      <xdr:spPr>
        <a:xfrm flipV="1">
          <a:off x="3257550" y="774700"/>
          <a:ext cx="6350" cy="685800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260350</xdr:colOff>
      <xdr:row>8</xdr:row>
      <xdr:rowOff>31750</xdr:rowOff>
    </xdr:from>
    <xdr:to>
      <xdr:col>4</xdr:col>
      <xdr:colOff>260350</xdr:colOff>
      <xdr:row>12</xdr:row>
      <xdr:rowOff>133350</xdr:rowOff>
    </xdr:to>
    <xdr:cxnSp macro="">
      <xdr:nvCxnSpPr>
        <xdr:cNvPr id="6" name="Łącznik prosty ze strzałką 5">
          <a:extLst>
            <a:ext uri="{FF2B5EF4-FFF2-40B4-BE49-F238E27FC236}">
              <a16:creationId xmlns:a16="http://schemas.microsoft.com/office/drawing/2014/main" id="{DE3EAFA5-D3A8-42C7-B320-C7BB3AB40436}"/>
            </a:ext>
          </a:extLst>
        </xdr:cNvPr>
        <xdr:cNvCxnSpPr/>
      </xdr:nvCxnSpPr>
      <xdr:spPr>
        <a:xfrm flipV="1">
          <a:off x="3270250" y="1676400"/>
          <a:ext cx="0" cy="812800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317500</xdr:colOff>
      <xdr:row>16</xdr:row>
      <xdr:rowOff>69850</xdr:rowOff>
    </xdr:from>
    <xdr:to>
      <xdr:col>7</xdr:col>
      <xdr:colOff>82550</xdr:colOff>
      <xdr:row>16</xdr:row>
      <xdr:rowOff>82550</xdr:rowOff>
    </xdr:to>
    <xdr:cxnSp macro="">
      <xdr:nvCxnSpPr>
        <xdr:cNvPr id="7" name="Łącznik prosty ze strzałką 6">
          <a:extLst>
            <a:ext uri="{FF2B5EF4-FFF2-40B4-BE49-F238E27FC236}">
              <a16:creationId xmlns:a16="http://schemas.microsoft.com/office/drawing/2014/main" id="{3E3D3A13-BD70-4C77-ABD9-88D9D598D3FC}"/>
            </a:ext>
          </a:extLst>
        </xdr:cNvPr>
        <xdr:cNvCxnSpPr/>
      </xdr:nvCxnSpPr>
      <xdr:spPr>
        <a:xfrm>
          <a:off x="3327400" y="3136900"/>
          <a:ext cx="2000250" cy="12700"/>
        </a:xfrm>
        <a:prstGeom prst="straightConnector1">
          <a:avLst/>
        </a:prstGeom>
        <a:ln w="28575">
          <a:solidFill>
            <a:srgbClr val="9F115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16</xdr:row>
      <xdr:rowOff>82550</xdr:rowOff>
    </xdr:from>
    <xdr:to>
      <xdr:col>11</xdr:col>
      <xdr:colOff>419100</xdr:colOff>
      <xdr:row>16</xdr:row>
      <xdr:rowOff>82550</xdr:rowOff>
    </xdr:to>
    <xdr:cxnSp macro="">
      <xdr:nvCxnSpPr>
        <xdr:cNvPr id="8" name="Łącznik prosty ze strzałką 7">
          <a:extLst>
            <a:ext uri="{FF2B5EF4-FFF2-40B4-BE49-F238E27FC236}">
              <a16:creationId xmlns:a16="http://schemas.microsoft.com/office/drawing/2014/main" id="{44A65C98-D6DE-4885-80A9-D82EBBB2BD22}"/>
            </a:ext>
          </a:extLst>
        </xdr:cNvPr>
        <xdr:cNvCxnSpPr/>
      </xdr:nvCxnSpPr>
      <xdr:spPr>
        <a:xfrm>
          <a:off x="6140450" y="3149600"/>
          <a:ext cx="2527300" cy="0"/>
        </a:xfrm>
        <a:prstGeom prst="straightConnector1">
          <a:avLst/>
        </a:prstGeom>
        <a:ln w="28575">
          <a:solidFill>
            <a:srgbClr val="9F115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590550</xdr:colOff>
      <xdr:row>16</xdr:row>
      <xdr:rowOff>76200</xdr:rowOff>
    </xdr:from>
    <xdr:to>
      <xdr:col>4</xdr:col>
      <xdr:colOff>196850</xdr:colOff>
      <xdr:row>16</xdr:row>
      <xdr:rowOff>88900</xdr:rowOff>
    </xdr:to>
    <xdr:cxnSp macro="">
      <xdr:nvCxnSpPr>
        <xdr:cNvPr id="9" name="Łącznik prosty ze strzałką 8">
          <a:extLst>
            <a:ext uri="{FF2B5EF4-FFF2-40B4-BE49-F238E27FC236}">
              <a16:creationId xmlns:a16="http://schemas.microsoft.com/office/drawing/2014/main" id="{3A54BF59-0A1D-47A4-8D5F-AC470A87EE56}"/>
            </a:ext>
          </a:extLst>
        </xdr:cNvPr>
        <xdr:cNvCxnSpPr/>
      </xdr:nvCxnSpPr>
      <xdr:spPr>
        <a:xfrm flipV="1">
          <a:off x="1377950" y="3143250"/>
          <a:ext cx="1828800" cy="12700"/>
        </a:xfrm>
        <a:prstGeom prst="straightConnector1">
          <a:avLst/>
        </a:prstGeom>
        <a:ln w="28575">
          <a:solidFill>
            <a:srgbClr val="9F115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247650</xdr:colOff>
      <xdr:row>13</xdr:row>
      <xdr:rowOff>165100</xdr:rowOff>
    </xdr:from>
    <xdr:to>
      <xdr:col>4</xdr:col>
      <xdr:colOff>266700</xdr:colOff>
      <xdr:row>21</xdr:row>
      <xdr:rowOff>6350</xdr:rowOff>
    </xdr:to>
    <xdr:cxnSp macro="">
      <xdr:nvCxnSpPr>
        <xdr:cNvPr id="10" name="Łącznik prosty ze strzałką 9">
          <a:extLst>
            <a:ext uri="{FF2B5EF4-FFF2-40B4-BE49-F238E27FC236}">
              <a16:creationId xmlns:a16="http://schemas.microsoft.com/office/drawing/2014/main" id="{2D50DC64-AC86-4E64-AB21-308BE44FE677}"/>
            </a:ext>
          </a:extLst>
        </xdr:cNvPr>
        <xdr:cNvCxnSpPr/>
      </xdr:nvCxnSpPr>
      <xdr:spPr>
        <a:xfrm flipV="1">
          <a:off x="3257550" y="2698750"/>
          <a:ext cx="19050" cy="1270000"/>
        </a:xfrm>
        <a:prstGeom prst="straightConnector1">
          <a:avLst/>
        </a:prstGeom>
        <a:ln w="28575">
          <a:solidFill>
            <a:schemeClr val="accent3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13</xdr:row>
      <xdr:rowOff>133350</xdr:rowOff>
    </xdr:from>
    <xdr:to>
      <xdr:col>3</xdr:col>
      <xdr:colOff>330200</xdr:colOff>
      <xdr:row>16</xdr:row>
      <xdr:rowOff>82550</xdr:rowOff>
    </xdr:to>
    <xdr:cxnSp macro="">
      <xdr:nvCxnSpPr>
        <xdr:cNvPr id="11" name="Łącznik prosty 10">
          <a:extLst>
            <a:ext uri="{FF2B5EF4-FFF2-40B4-BE49-F238E27FC236}">
              <a16:creationId xmlns:a16="http://schemas.microsoft.com/office/drawing/2014/main" id="{CC9AC538-7632-4537-BC10-E819D019B87F}"/>
            </a:ext>
          </a:extLst>
        </xdr:cNvPr>
        <xdr:cNvCxnSpPr/>
      </xdr:nvCxnSpPr>
      <xdr:spPr>
        <a:xfrm>
          <a:off x="2197100" y="2667000"/>
          <a:ext cx="6350" cy="482600"/>
        </a:xfrm>
        <a:prstGeom prst="line">
          <a:avLst/>
        </a:prstGeom>
        <a:ln w="28575">
          <a:solidFill>
            <a:srgbClr val="9F1155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13</xdr:row>
      <xdr:rowOff>120650</xdr:rowOff>
    </xdr:from>
    <xdr:to>
      <xdr:col>3</xdr:col>
      <xdr:colOff>1098550</xdr:colOff>
      <xdr:row>13</xdr:row>
      <xdr:rowOff>127000</xdr:rowOff>
    </xdr:to>
    <xdr:cxnSp macro="">
      <xdr:nvCxnSpPr>
        <xdr:cNvPr id="12" name="Łącznik prosty ze strzałką 11">
          <a:extLst>
            <a:ext uri="{FF2B5EF4-FFF2-40B4-BE49-F238E27FC236}">
              <a16:creationId xmlns:a16="http://schemas.microsoft.com/office/drawing/2014/main" id="{6BF57316-2C9F-480A-BD30-874F53340736}"/>
            </a:ext>
          </a:extLst>
        </xdr:cNvPr>
        <xdr:cNvCxnSpPr/>
      </xdr:nvCxnSpPr>
      <xdr:spPr>
        <a:xfrm>
          <a:off x="2190750" y="2654300"/>
          <a:ext cx="781050" cy="6350"/>
        </a:xfrm>
        <a:prstGeom prst="straightConnector1">
          <a:avLst/>
        </a:prstGeom>
        <a:ln w="28575">
          <a:solidFill>
            <a:srgbClr val="9F115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19</xdr:row>
      <xdr:rowOff>82550</xdr:rowOff>
    </xdr:from>
    <xdr:to>
      <xdr:col>16</xdr:col>
      <xdr:colOff>603250</xdr:colOff>
      <xdr:row>19</xdr:row>
      <xdr:rowOff>133350</xdr:rowOff>
    </xdr:to>
    <xdr:cxnSp macro="">
      <xdr:nvCxnSpPr>
        <xdr:cNvPr id="13" name="Łącznik prosty ze strzałką 12">
          <a:extLst>
            <a:ext uri="{FF2B5EF4-FFF2-40B4-BE49-F238E27FC236}">
              <a16:creationId xmlns:a16="http://schemas.microsoft.com/office/drawing/2014/main" id="{6E55D0F3-DF35-409F-A181-96E2FDE90C3C}"/>
            </a:ext>
          </a:extLst>
        </xdr:cNvPr>
        <xdr:cNvCxnSpPr/>
      </xdr:nvCxnSpPr>
      <xdr:spPr>
        <a:xfrm flipV="1">
          <a:off x="3295650" y="3689350"/>
          <a:ext cx="8604250" cy="50800"/>
        </a:xfrm>
        <a:prstGeom prst="straightConnector1">
          <a:avLst/>
        </a:prstGeom>
        <a:ln w="28575">
          <a:solidFill>
            <a:schemeClr val="accent3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463550</xdr:colOff>
      <xdr:row>0</xdr:row>
      <xdr:rowOff>381000</xdr:rowOff>
    </xdr:from>
    <xdr:to>
      <xdr:col>3</xdr:col>
      <xdr:colOff>476250</xdr:colOff>
      <xdr:row>6</xdr:row>
      <xdr:rowOff>12700</xdr:rowOff>
    </xdr:to>
    <xdr:cxnSp macro="">
      <xdr:nvCxnSpPr>
        <xdr:cNvPr id="14" name="Łącznik prosty ze strzałką 13">
          <a:extLst>
            <a:ext uri="{FF2B5EF4-FFF2-40B4-BE49-F238E27FC236}">
              <a16:creationId xmlns:a16="http://schemas.microsoft.com/office/drawing/2014/main" id="{4105FFFE-526D-4B80-8B95-1A64E95831A8}"/>
            </a:ext>
          </a:extLst>
        </xdr:cNvPr>
        <xdr:cNvCxnSpPr/>
      </xdr:nvCxnSpPr>
      <xdr:spPr>
        <a:xfrm>
          <a:off x="2336800" y="381000"/>
          <a:ext cx="12700" cy="920750"/>
        </a:xfrm>
        <a:prstGeom prst="straightConnector1">
          <a:avLst/>
        </a:prstGeom>
        <a:ln w="38100">
          <a:solidFill>
            <a:schemeClr val="accent2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4</xdr:row>
      <xdr:rowOff>127000</xdr:rowOff>
    </xdr:from>
    <xdr:to>
      <xdr:col>8</xdr:col>
      <xdr:colOff>25400</xdr:colOff>
      <xdr:row>13</xdr:row>
      <xdr:rowOff>146050</xdr:rowOff>
    </xdr:to>
    <xdr:cxnSp macro="">
      <xdr:nvCxnSpPr>
        <xdr:cNvPr id="15" name="Łącznik prosty ze strzałką 14">
          <a:extLst>
            <a:ext uri="{FF2B5EF4-FFF2-40B4-BE49-F238E27FC236}">
              <a16:creationId xmlns:a16="http://schemas.microsoft.com/office/drawing/2014/main" id="{479CE626-3DF5-4EB6-BF3E-84EF21014255}"/>
            </a:ext>
          </a:extLst>
        </xdr:cNvPr>
        <xdr:cNvCxnSpPr/>
      </xdr:nvCxnSpPr>
      <xdr:spPr>
        <a:xfrm flipH="1" flipV="1">
          <a:off x="6159500" y="1054100"/>
          <a:ext cx="6350" cy="1625600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590550</xdr:colOff>
      <xdr:row>16</xdr:row>
      <xdr:rowOff>76200</xdr:rowOff>
    </xdr:from>
    <xdr:to>
      <xdr:col>8</xdr:col>
      <xdr:colOff>196850</xdr:colOff>
      <xdr:row>16</xdr:row>
      <xdr:rowOff>88900</xdr:rowOff>
    </xdr:to>
    <xdr:cxnSp macro="">
      <xdr:nvCxnSpPr>
        <xdr:cNvPr id="16" name="Łącznik prosty ze strzałką 15">
          <a:extLst>
            <a:ext uri="{FF2B5EF4-FFF2-40B4-BE49-F238E27FC236}">
              <a16:creationId xmlns:a16="http://schemas.microsoft.com/office/drawing/2014/main" id="{D2FE0DBC-A769-4A2C-9A1B-4A7A8853D58F}"/>
            </a:ext>
          </a:extLst>
        </xdr:cNvPr>
        <xdr:cNvCxnSpPr/>
      </xdr:nvCxnSpPr>
      <xdr:spPr>
        <a:xfrm flipV="1">
          <a:off x="4210050" y="3143250"/>
          <a:ext cx="2127250" cy="12700"/>
        </a:xfrm>
        <a:prstGeom prst="straightConnector1">
          <a:avLst/>
        </a:prstGeom>
        <a:ln w="28575">
          <a:solidFill>
            <a:srgbClr val="9F115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114300</xdr:colOff>
      <xdr:row>13</xdr:row>
      <xdr:rowOff>114300</xdr:rowOff>
    </xdr:from>
    <xdr:to>
      <xdr:col>7</xdr:col>
      <xdr:colOff>120650</xdr:colOff>
      <xdr:row>16</xdr:row>
      <xdr:rowOff>63500</xdr:rowOff>
    </xdr:to>
    <xdr:cxnSp macro="">
      <xdr:nvCxnSpPr>
        <xdr:cNvPr id="17" name="Łącznik prosty 16">
          <a:extLst>
            <a:ext uri="{FF2B5EF4-FFF2-40B4-BE49-F238E27FC236}">
              <a16:creationId xmlns:a16="http://schemas.microsoft.com/office/drawing/2014/main" id="{25C5257B-41AA-4132-9C5A-160EAAF85391}"/>
            </a:ext>
          </a:extLst>
        </xdr:cNvPr>
        <xdr:cNvCxnSpPr/>
      </xdr:nvCxnSpPr>
      <xdr:spPr>
        <a:xfrm>
          <a:off x="5359400" y="2647950"/>
          <a:ext cx="6350" cy="482600"/>
        </a:xfrm>
        <a:prstGeom prst="line">
          <a:avLst/>
        </a:prstGeom>
        <a:ln w="28575">
          <a:solidFill>
            <a:srgbClr val="9F1155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114300</xdr:colOff>
      <xdr:row>13</xdr:row>
      <xdr:rowOff>127000</xdr:rowOff>
    </xdr:from>
    <xdr:to>
      <xdr:col>8</xdr:col>
      <xdr:colOff>0</xdr:colOff>
      <xdr:row>13</xdr:row>
      <xdr:rowOff>139700</xdr:rowOff>
    </xdr:to>
    <xdr:cxnSp macro="">
      <xdr:nvCxnSpPr>
        <xdr:cNvPr id="18" name="Łącznik prosty ze strzałką 17">
          <a:extLst>
            <a:ext uri="{FF2B5EF4-FFF2-40B4-BE49-F238E27FC236}">
              <a16:creationId xmlns:a16="http://schemas.microsoft.com/office/drawing/2014/main" id="{85465FB3-73C2-4CEA-B825-80D03728094D}"/>
            </a:ext>
          </a:extLst>
        </xdr:cNvPr>
        <xdr:cNvCxnSpPr/>
      </xdr:nvCxnSpPr>
      <xdr:spPr>
        <a:xfrm flipV="1">
          <a:off x="5359400" y="2660650"/>
          <a:ext cx="781050" cy="12700"/>
        </a:xfrm>
        <a:prstGeom prst="straightConnector1">
          <a:avLst/>
        </a:prstGeom>
        <a:ln w="28575">
          <a:solidFill>
            <a:srgbClr val="9F115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158750</xdr:colOff>
      <xdr:row>5</xdr:row>
      <xdr:rowOff>6350</xdr:rowOff>
    </xdr:from>
    <xdr:to>
      <xdr:col>13</xdr:col>
      <xdr:colOff>171450</xdr:colOff>
      <xdr:row>13</xdr:row>
      <xdr:rowOff>50800</xdr:rowOff>
    </xdr:to>
    <xdr:cxnSp macro="">
      <xdr:nvCxnSpPr>
        <xdr:cNvPr id="19" name="Łącznik prosty ze strzałką 18">
          <a:extLst>
            <a:ext uri="{FF2B5EF4-FFF2-40B4-BE49-F238E27FC236}">
              <a16:creationId xmlns:a16="http://schemas.microsoft.com/office/drawing/2014/main" id="{25DB0990-0548-48C2-84E8-5A7F0102B1F4}"/>
            </a:ext>
          </a:extLst>
        </xdr:cNvPr>
        <xdr:cNvCxnSpPr/>
      </xdr:nvCxnSpPr>
      <xdr:spPr>
        <a:xfrm flipH="1" flipV="1">
          <a:off x="9626600" y="1111250"/>
          <a:ext cx="12700" cy="1473200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414798</xdr:colOff>
      <xdr:row>16</xdr:row>
      <xdr:rowOff>81935</xdr:rowOff>
    </xdr:from>
    <xdr:to>
      <xdr:col>15</xdr:col>
      <xdr:colOff>30725</xdr:colOff>
      <xdr:row>16</xdr:row>
      <xdr:rowOff>97298</xdr:rowOff>
    </xdr:to>
    <xdr:cxnSp macro="">
      <xdr:nvCxnSpPr>
        <xdr:cNvPr id="20" name="Łącznik prosty ze strzałką 19">
          <a:extLst>
            <a:ext uri="{FF2B5EF4-FFF2-40B4-BE49-F238E27FC236}">
              <a16:creationId xmlns:a16="http://schemas.microsoft.com/office/drawing/2014/main" id="{13811223-2533-411E-B3A1-BB26DEF73814}"/>
            </a:ext>
          </a:extLst>
        </xdr:cNvPr>
        <xdr:cNvCxnSpPr/>
      </xdr:nvCxnSpPr>
      <xdr:spPr>
        <a:xfrm flipV="1">
          <a:off x="8664677" y="3169879"/>
          <a:ext cx="2053508" cy="15363"/>
        </a:xfrm>
        <a:prstGeom prst="straightConnector1">
          <a:avLst/>
        </a:prstGeom>
        <a:ln w="28575">
          <a:solidFill>
            <a:srgbClr val="9F115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13</xdr:row>
      <xdr:rowOff>101600</xdr:rowOff>
    </xdr:from>
    <xdr:to>
      <xdr:col>12</xdr:col>
      <xdr:colOff>6350</xdr:colOff>
      <xdr:row>16</xdr:row>
      <xdr:rowOff>50800</xdr:rowOff>
    </xdr:to>
    <xdr:cxnSp macro="">
      <xdr:nvCxnSpPr>
        <xdr:cNvPr id="21" name="Łącznik prosty 20">
          <a:extLst>
            <a:ext uri="{FF2B5EF4-FFF2-40B4-BE49-F238E27FC236}">
              <a16:creationId xmlns:a16="http://schemas.microsoft.com/office/drawing/2014/main" id="{8CBE376A-F8E2-474E-BCA8-4DCFB1BBA395}"/>
            </a:ext>
          </a:extLst>
        </xdr:cNvPr>
        <xdr:cNvCxnSpPr/>
      </xdr:nvCxnSpPr>
      <xdr:spPr>
        <a:xfrm>
          <a:off x="8858250" y="2635250"/>
          <a:ext cx="6350" cy="482600"/>
        </a:xfrm>
        <a:prstGeom prst="line">
          <a:avLst/>
        </a:prstGeom>
        <a:ln w="28575">
          <a:solidFill>
            <a:srgbClr val="9F1155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31750</xdr:colOff>
      <xdr:row>13</xdr:row>
      <xdr:rowOff>114300</xdr:rowOff>
    </xdr:from>
    <xdr:to>
      <xdr:col>13</xdr:col>
      <xdr:colOff>190500</xdr:colOff>
      <xdr:row>13</xdr:row>
      <xdr:rowOff>120650</xdr:rowOff>
    </xdr:to>
    <xdr:cxnSp macro="">
      <xdr:nvCxnSpPr>
        <xdr:cNvPr id="22" name="Łącznik prosty ze strzałką 21">
          <a:extLst>
            <a:ext uri="{FF2B5EF4-FFF2-40B4-BE49-F238E27FC236}">
              <a16:creationId xmlns:a16="http://schemas.microsoft.com/office/drawing/2014/main" id="{3FF8AFC0-6216-447A-8C2C-7EA1F7237A04}"/>
            </a:ext>
          </a:extLst>
        </xdr:cNvPr>
        <xdr:cNvCxnSpPr/>
      </xdr:nvCxnSpPr>
      <xdr:spPr>
        <a:xfrm flipV="1">
          <a:off x="8890000" y="2647950"/>
          <a:ext cx="768350" cy="6350"/>
        </a:xfrm>
        <a:prstGeom prst="straightConnector1">
          <a:avLst/>
        </a:prstGeom>
        <a:ln w="28575">
          <a:solidFill>
            <a:srgbClr val="9F115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63500</xdr:colOff>
      <xdr:row>5</xdr:row>
      <xdr:rowOff>12700</xdr:rowOff>
    </xdr:from>
    <xdr:to>
      <xdr:col>10</xdr:col>
      <xdr:colOff>279400</xdr:colOff>
      <xdr:row>5</xdr:row>
      <xdr:rowOff>12700</xdr:rowOff>
    </xdr:to>
    <xdr:cxnSp macro="">
      <xdr:nvCxnSpPr>
        <xdr:cNvPr id="23" name="Łącznik prosty ze strzałką 22">
          <a:extLst>
            <a:ext uri="{FF2B5EF4-FFF2-40B4-BE49-F238E27FC236}">
              <a16:creationId xmlns:a16="http://schemas.microsoft.com/office/drawing/2014/main" id="{2A5ADD03-ED66-4BE1-B262-7FBFBF16DA07}"/>
            </a:ext>
          </a:extLst>
        </xdr:cNvPr>
        <xdr:cNvCxnSpPr/>
      </xdr:nvCxnSpPr>
      <xdr:spPr>
        <a:xfrm>
          <a:off x="6203950" y="1117600"/>
          <a:ext cx="1714500" cy="0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260350</xdr:colOff>
      <xdr:row>8</xdr:row>
      <xdr:rowOff>31750</xdr:rowOff>
    </xdr:from>
    <xdr:to>
      <xdr:col>17</xdr:col>
      <xdr:colOff>260350</xdr:colOff>
      <xdr:row>12</xdr:row>
      <xdr:rowOff>133350</xdr:rowOff>
    </xdr:to>
    <xdr:cxnSp macro="">
      <xdr:nvCxnSpPr>
        <xdr:cNvPr id="24" name="Łącznik prosty ze strzałką 23">
          <a:extLst>
            <a:ext uri="{FF2B5EF4-FFF2-40B4-BE49-F238E27FC236}">
              <a16:creationId xmlns:a16="http://schemas.microsoft.com/office/drawing/2014/main" id="{4550783C-6E5E-4B5B-BC16-C7414DF819C9}"/>
            </a:ext>
          </a:extLst>
        </xdr:cNvPr>
        <xdr:cNvCxnSpPr/>
      </xdr:nvCxnSpPr>
      <xdr:spPr>
        <a:xfrm flipV="1">
          <a:off x="12166600" y="1676400"/>
          <a:ext cx="0" cy="812800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590550</xdr:colOff>
      <xdr:row>16</xdr:row>
      <xdr:rowOff>88900</xdr:rowOff>
    </xdr:from>
    <xdr:to>
      <xdr:col>16</xdr:col>
      <xdr:colOff>358468</xdr:colOff>
      <xdr:row>16</xdr:row>
      <xdr:rowOff>92177</xdr:rowOff>
    </xdr:to>
    <xdr:cxnSp macro="">
      <xdr:nvCxnSpPr>
        <xdr:cNvPr id="25" name="Łącznik prosty ze strzałką 24">
          <a:extLst>
            <a:ext uri="{FF2B5EF4-FFF2-40B4-BE49-F238E27FC236}">
              <a16:creationId xmlns:a16="http://schemas.microsoft.com/office/drawing/2014/main" id="{C5BCF553-1E48-446C-BA84-F122FCDD0D91}"/>
            </a:ext>
          </a:extLst>
        </xdr:cNvPr>
        <xdr:cNvCxnSpPr/>
      </xdr:nvCxnSpPr>
      <xdr:spPr>
        <a:xfrm>
          <a:off x="10668615" y="3176844"/>
          <a:ext cx="986708" cy="3277"/>
        </a:xfrm>
        <a:prstGeom prst="straightConnector1">
          <a:avLst/>
        </a:prstGeom>
        <a:ln w="28575">
          <a:solidFill>
            <a:srgbClr val="9F115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323850</xdr:colOff>
      <xdr:row>13</xdr:row>
      <xdr:rowOff>133350</xdr:rowOff>
    </xdr:from>
    <xdr:to>
      <xdr:col>16</xdr:col>
      <xdr:colOff>330200</xdr:colOff>
      <xdr:row>16</xdr:row>
      <xdr:rowOff>82550</xdr:rowOff>
    </xdr:to>
    <xdr:cxnSp macro="">
      <xdr:nvCxnSpPr>
        <xdr:cNvPr id="26" name="Łącznik prosty 25">
          <a:extLst>
            <a:ext uri="{FF2B5EF4-FFF2-40B4-BE49-F238E27FC236}">
              <a16:creationId xmlns:a16="http://schemas.microsoft.com/office/drawing/2014/main" id="{A31D9042-52F0-4FAC-86CE-9B83BBCAACCF}"/>
            </a:ext>
          </a:extLst>
        </xdr:cNvPr>
        <xdr:cNvCxnSpPr/>
      </xdr:nvCxnSpPr>
      <xdr:spPr>
        <a:xfrm>
          <a:off x="11620500" y="2667000"/>
          <a:ext cx="6350" cy="482600"/>
        </a:xfrm>
        <a:prstGeom prst="line">
          <a:avLst/>
        </a:prstGeom>
        <a:ln w="28575">
          <a:solidFill>
            <a:srgbClr val="9F1155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317500</xdr:colOff>
      <xdr:row>13</xdr:row>
      <xdr:rowOff>120650</xdr:rowOff>
    </xdr:from>
    <xdr:to>
      <xdr:col>16</xdr:col>
      <xdr:colOff>1098550</xdr:colOff>
      <xdr:row>13</xdr:row>
      <xdr:rowOff>127000</xdr:rowOff>
    </xdr:to>
    <xdr:cxnSp macro="">
      <xdr:nvCxnSpPr>
        <xdr:cNvPr id="27" name="Łącznik prosty ze strzałką 26">
          <a:extLst>
            <a:ext uri="{FF2B5EF4-FFF2-40B4-BE49-F238E27FC236}">
              <a16:creationId xmlns:a16="http://schemas.microsoft.com/office/drawing/2014/main" id="{ECD7C792-98A3-4483-8FE0-92C1FF5160EB}"/>
            </a:ext>
          </a:extLst>
        </xdr:cNvPr>
        <xdr:cNvCxnSpPr/>
      </xdr:nvCxnSpPr>
      <xdr:spPr>
        <a:xfrm>
          <a:off x="11614150" y="2654300"/>
          <a:ext cx="292100" cy="6350"/>
        </a:xfrm>
        <a:prstGeom prst="straightConnector1">
          <a:avLst/>
        </a:prstGeom>
        <a:ln w="28575">
          <a:solidFill>
            <a:srgbClr val="9F115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425450</xdr:colOff>
      <xdr:row>5</xdr:row>
      <xdr:rowOff>12700</xdr:rowOff>
    </xdr:from>
    <xdr:to>
      <xdr:col>13</xdr:col>
      <xdr:colOff>165100</xdr:colOff>
      <xdr:row>5</xdr:row>
      <xdr:rowOff>19050</xdr:rowOff>
    </xdr:to>
    <xdr:cxnSp macro="">
      <xdr:nvCxnSpPr>
        <xdr:cNvPr id="28" name="Łącznik prosty ze strzałką 27">
          <a:extLst>
            <a:ext uri="{FF2B5EF4-FFF2-40B4-BE49-F238E27FC236}">
              <a16:creationId xmlns:a16="http://schemas.microsoft.com/office/drawing/2014/main" id="{76BE21BC-B3E0-4D0F-B1AD-09A96BDD2B6C}"/>
            </a:ext>
          </a:extLst>
        </xdr:cNvPr>
        <xdr:cNvCxnSpPr/>
      </xdr:nvCxnSpPr>
      <xdr:spPr>
        <a:xfrm flipH="1">
          <a:off x="8064500" y="1117600"/>
          <a:ext cx="1568450" cy="6350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279400</xdr:colOff>
      <xdr:row>2</xdr:row>
      <xdr:rowOff>158750</xdr:rowOff>
    </xdr:from>
    <xdr:to>
      <xdr:col>10</xdr:col>
      <xdr:colOff>279400</xdr:colOff>
      <xdr:row>3</xdr:row>
      <xdr:rowOff>171450</xdr:rowOff>
    </xdr:to>
    <xdr:cxnSp macro="">
      <xdr:nvCxnSpPr>
        <xdr:cNvPr id="29" name="Łącznik prosty ze strzałką 28">
          <a:extLst>
            <a:ext uri="{FF2B5EF4-FFF2-40B4-BE49-F238E27FC236}">
              <a16:creationId xmlns:a16="http://schemas.microsoft.com/office/drawing/2014/main" id="{B6BA5C93-FBED-4DDB-93F9-5890173A43AE}"/>
            </a:ext>
          </a:extLst>
        </xdr:cNvPr>
        <xdr:cNvCxnSpPr/>
      </xdr:nvCxnSpPr>
      <xdr:spPr>
        <a:xfrm flipV="1">
          <a:off x="7918450" y="730250"/>
          <a:ext cx="0" cy="190500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8467</xdr:colOff>
      <xdr:row>13</xdr:row>
      <xdr:rowOff>169333</xdr:rowOff>
    </xdr:from>
    <xdr:to>
      <xdr:col>8</xdr:col>
      <xdr:colOff>25400</xdr:colOff>
      <xdr:row>19</xdr:row>
      <xdr:rowOff>114300</xdr:rowOff>
    </xdr:to>
    <xdr:cxnSp macro="">
      <xdr:nvCxnSpPr>
        <xdr:cNvPr id="30" name="Łącznik prosty ze strzałką 29">
          <a:extLst>
            <a:ext uri="{FF2B5EF4-FFF2-40B4-BE49-F238E27FC236}">
              <a16:creationId xmlns:a16="http://schemas.microsoft.com/office/drawing/2014/main" id="{37BA66BD-263D-46E0-814F-50C9DDC110B2}"/>
            </a:ext>
          </a:extLst>
        </xdr:cNvPr>
        <xdr:cNvCxnSpPr/>
      </xdr:nvCxnSpPr>
      <xdr:spPr>
        <a:xfrm flipH="1" flipV="1">
          <a:off x="6148917" y="2702983"/>
          <a:ext cx="16933" cy="1018117"/>
        </a:xfrm>
        <a:prstGeom prst="straightConnector1">
          <a:avLst/>
        </a:prstGeom>
        <a:ln w="28575">
          <a:solidFill>
            <a:schemeClr val="accent3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16933</xdr:colOff>
      <xdr:row>13</xdr:row>
      <xdr:rowOff>101600</xdr:rowOff>
    </xdr:from>
    <xdr:to>
      <xdr:col>13</xdr:col>
      <xdr:colOff>31750</xdr:colOff>
      <xdr:row>19</xdr:row>
      <xdr:rowOff>95250</xdr:rowOff>
    </xdr:to>
    <xdr:cxnSp macro="">
      <xdr:nvCxnSpPr>
        <xdr:cNvPr id="31" name="Łącznik prosty ze strzałką 30">
          <a:extLst>
            <a:ext uri="{FF2B5EF4-FFF2-40B4-BE49-F238E27FC236}">
              <a16:creationId xmlns:a16="http://schemas.microsoft.com/office/drawing/2014/main" id="{3E38E2D3-B81F-46C9-BADF-9B9C52CF727F}"/>
            </a:ext>
          </a:extLst>
        </xdr:cNvPr>
        <xdr:cNvCxnSpPr/>
      </xdr:nvCxnSpPr>
      <xdr:spPr>
        <a:xfrm flipH="1" flipV="1">
          <a:off x="9484783" y="2635250"/>
          <a:ext cx="14817" cy="1066800"/>
        </a:xfrm>
        <a:prstGeom prst="straightConnector1">
          <a:avLst/>
        </a:prstGeom>
        <a:ln w="28575">
          <a:solidFill>
            <a:schemeClr val="accent3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541866</xdr:colOff>
      <xdr:row>14</xdr:row>
      <xdr:rowOff>16933</xdr:rowOff>
    </xdr:from>
    <xdr:to>
      <xdr:col>16</xdr:col>
      <xdr:colOff>571500</xdr:colOff>
      <xdr:row>19</xdr:row>
      <xdr:rowOff>63500</xdr:rowOff>
    </xdr:to>
    <xdr:cxnSp macro="">
      <xdr:nvCxnSpPr>
        <xdr:cNvPr id="32" name="Łącznik prosty ze strzałką 31">
          <a:extLst>
            <a:ext uri="{FF2B5EF4-FFF2-40B4-BE49-F238E27FC236}">
              <a16:creationId xmlns:a16="http://schemas.microsoft.com/office/drawing/2014/main" id="{7C558079-F0D8-41DA-801C-51D881FCFBEA}"/>
            </a:ext>
          </a:extLst>
        </xdr:cNvPr>
        <xdr:cNvCxnSpPr/>
      </xdr:nvCxnSpPr>
      <xdr:spPr>
        <a:xfrm flipH="1" flipV="1">
          <a:off x="11838516" y="2728383"/>
          <a:ext cx="29634" cy="941917"/>
        </a:xfrm>
        <a:prstGeom prst="straightConnector1">
          <a:avLst/>
        </a:prstGeom>
        <a:ln w="28575">
          <a:solidFill>
            <a:schemeClr val="accent3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19050</xdr:colOff>
      <xdr:row>7</xdr:row>
      <xdr:rowOff>63500</xdr:rowOff>
    </xdr:from>
    <xdr:to>
      <xdr:col>20</xdr:col>
      <xdr:colOff>31750</xdr:colOff>
      <xdr:row>7</xdr:row>
      <xdr:rowOff>76200</xdr:rowOff>
    </xdr:to>
    <xdr:cxnSp macro="">
      <xdr:nvCxnSpPr>
        <xdr:cNvPr id="33" name="Łącznik prosty ze strzałką 32">
          <a:extLst>
            <a:ext uri="{FF2B5EF4-FFF2-40B4-BE49-F238E27FC236}">
              <a16:creationId xmlns:a16="http://schemas.microsoft.com/office/drawing/2014/main" id="{223DFB50-EF4D-4B2E-979F-CDC94AF94EEC}"/>
            </a:ext>
          </a:extLst>
        </xdr:cNvPr>
        <xdr:cNvCxnSpPr/>
      </xdr:nvCxnSpPr>
      <xdr:spPr>
        <a:xfrm flipV="1">
          <a:off x="12534900" y="1530350"/>
          <a:ext cx="1231900" cy="12700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12700</xdr:colOff>
      <xdr:row>7</xdr:row>
      <xdr:rowOff>69850</xdr:rowOff>
    </xdr:from>
    <xdr:to>
      <xdr:col>20</xdr:col>
      <xdr:colOff>19050</xdr:colOff>
      <xdr:row>9</xdr:row>
      <xdr:rowOff>6350</xdr:rowOff>
    </xdr:to>
    <xdr:cxnSp macro="">
      <xdr:nvCxnSpPr>
        <xdr:cNvPr id="34" name="Łącznik prosty ze strzałką 33">
          <a:extLst>
            <a:ext uri="{FF2B5EF4-FFF2-40B4-BE49-F238E27FC236}">
              <a16:creationId xmlns:a16="http://schemas.microsoft.com/office/drawing/2014/main" id="{CEF0E335-8D46-409C-8A42-8C4D65B08C5F}"/>
            </a:ext>
          </a:extLst>
        </xdr:cNvPr>
        <xdr:cNvCxnSpPr/>
      </xdr:nvCxnSpPr>
      <xdr:spPr>
        <a:xfrm>
          <a:off x="13747750" y="1536700"/>
          <a:ext cx="6350" cy="292100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158750</xdr:colOff>
      <xdr:row>2</xdr:row>
      <xdr:rowOff>107950</xdr:rowOff>
    </xdr:from>
    <xdr:to>
      <xdr:col>20</xdr:col>
      <xdr:colOff>171450</xdr:colOff>
      <xdr:row>5</xdr:row>
      <xdr:rowOff>25400</xdr:rowOff>
    </xdr:to>
    <xdr:cxnSp macro="">
      <xdr:nvCxnSpPr>
        <xdr:cNvPr id="35" name="Łącznik prosty ze strzałką 34">
          <a:extLst>
            <a:ext uri="{FF2B5EF4-FFF2-40B4-BE49-F238E27FC236}">
              <a16:creationId xmlns:a16="http://schemas.microsoft.com/office/drawing/2014/main" id="{B22E5852-E707-4EAD-9178-E7396E4A6D79}"/>
            </a:ext>
          </a:extLst>
        </xdr:cNvPr>
        <xdr:cNvCxnSpPr/>
      </xdr:nvCxnSpPr>
      <xdr:spPr>
        <a:xfrm>
          <a:off x="13893800" y="679450"/>
          <a:ext cx="12700" cy="450850"/>
        </a:xfrm>
        <a:prstGeom prst="straightConnector1">
          <a:avLst/>
        </a:prstGeom>
        <a:ln w="28575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196850</xdr:colOff>
      <xdr:row>6</xdr:row>
      <xdr:rowOff>31750</xdr:rowOff>
    </xdr:from>
    <xdr:to>
      <xdr:col>20</xdr:col>
      <xdr:colOff>209550</xdr:colOff>
      <xdr:row>8</xdr:row>
      <xdr:rowOff>127000</xdr:rowOff>
    </xdr:to>
    <xdr:cxnSp macro="">
      <xdr:nvCxnSpPr>
        <xdr:cNvPr id="36" name="Łącznik prosty ze strzałką 35">
          <a:extLst>
            <a:ext uri="{FF2B5EF4-FFF2-40B4-BE49-F238E27FC236}">
              <a16:creationId xmlns:a16="http://schemas.microsoft.com/office/drawing/2014/main" id="{E72597D6-97A0-48BE-959C-09B648D3DB2A}"/>
            </a:ext>
          </a:extLst>
        </xdr:cNvPr>
        <xdr:cNvCxnSpPr/>
      </xdr:nvCxnSpPr>
      <xdr:spPr>
        <a:xfrm>
          <a:off x="13931900" y="1320800"/>
          <a:ext cx="12700" cy="450850"/>
        </a:xfrm>
        <a:prstGeom prst="straightConnector1">
          <a:avLst/>
        </a:prstGeom>
        <a:ln w="28575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6350</xdr:colOff>
      <xdr:row>15</xdr:row>
      <xdr:rowOff>95250</xdr:rowOff>
    </xdr:from>
    <xdr:to>
      <xdr:col>22</xdr:col>
      <xdr:colOff>0</xdr:colOff>
      <xdr:row>15</xdr:row>
      <xdr:rowOff>95250</xdr:rowOff>
    </xdr:to>
    <xdr:cxnSp macro="">
      <xdr:nvCxnSpPr>
        <xdr:cNvPr id="37" name="Łącznik prosty ze strzałką 36">
          <a:extLst>
            <a:ext uri="{FF2B5EF4-FFF2-40B4-BE49-F238E27FC236}">
              <a16:creationId xmlns:a16="http://schemas.microsoft.com/office/drawing/2014/main" id="{8878EC1C-2A4D-44F7-9032-68A07E48CC39}"/>
            </a:ext>
          </a:extLst>
        </xdr:cNvPr>
        <xdr:cNvCxnSpPr/>
      </xdr:nvCxnSpPr>
      <xdr:spPr>
        <a:xfrm>
          <a:off x="14351000" y="2984500"/>
          <a:ext cx="603250" cy="0"/>
        </a:xfrm>
        <a:prstGeom prst="straightConnector1">
          <a:avLst/>
        </a:prstGeom>
        <a:ln w="28575">
          <a:solidFill>
            <a:srgbClr val="9F115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215900</xdr:colOff>
      <xdr:row>10</xdr:row>
      <xdr:rowOff>82550</xdr:rowOff>
    </xdr:from>
    <xdr:to>
      <xdr:col>20</xdr:col>
      <xdr:colOff>228600</xdr:colOff>
      <xdr:row>15</xdr:row>
      <xdr:rowOff>69850</xdr:rowOff>
    </xdr:to>
    <xdr:cxnSp macro="">
      <xdr:nvCxnSpPr>
        <xdr:cNvPr id="38" name="Łącznik prosty ze strzałką 37">
          <a:extLst>
            <a:ext uri="{FF2B5EF4-FFF2-40B4-BE49-F238E27FC236}">
              <a16:creationId xmlns:a16="http://schemas.microsoft.com/office/drawing/2014/main" id="{8C266ECE-A969-40FB-89AE-BE27B564CD92}"/>
            </a:ext>
          </a:extLst>
        </xdr:cNvPr>
        <xdr:cNvCxnSpPr/>
      </xdr:nvCxnSpPr>
      <xdr:spPr>
        <a:xfrm>
          <a:off x="13950950" y="2082800"/>
          <a:ext cx="12700" cy="876300"/>
        </a:xfrm>
        <a:prstGeom prst="straightConnector1">
          <a:avLst/>
        </a:prstGeom>
        <a:ln w="28575">
          <a:solidFill>
            <a:srgbClr val="9F115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838200</xdr:colOff>
      <xdr:row>1</xdr:row>
      <xdr:rowOff>0</xdr:rowOff>
    </xdr:from>
    <xdr:to>
      <xdr:col>9</xdr:col>
      <xdr:colOff>571500</xdr:colOff>
      <xdr:row>4</xdr:row>
      <xdr:rowOff>38100</xdr:rowOff>
    </xdr:to>
    <xdr:cxnSp macro="">
      <xdr:nvCxnSpPr>
        <xdr:cNvPr id="39" name="Łącznik prosty ze strzałką 38">
          <a:extLst>
            <a:ext uri="{FF2B5EF4-FFF2-40B4-BE49-F238E27FC236}">
              <a16:creationId xmlns:a16="http://schemas.microsoft.com/office/drawing/2014/main" id="{A2F90AB0-6567-47EE-BD79-6F5104E4D0EB}"/>
            </a:ext>
          </a:extLst>
        </xdr:cNvPr>
        <xdr:cNvCxnSpPr/>
      </xdr:nvCxnSpPr>
      <xdr:spPr>
        <a:xfrm>
          <a:off x="6083300" y="393700"/>
          <a:ext cx="1517650" cy="5715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203200</xdr:colOff>
      <xdr:row>21</xdr:row>
      <xdr:rowOff>82550</xdr:rowOff>
    </xdr:from>
    <xdr:to>
      <xdr:col>5</xdr:col>
      <xdr:colOff>571500</xdr:colOff>
      <xdr:row>21</xdr:row>
      <xdr:rowOff>114300</xdr:rowOff>
    </xdr:to>
    <xdr:cxnSp macro="">
      <xdr:nvCxnSpPr>
        <xdr:cNvPr id="40" name="Łącznik prosty ze strzałką 39">
          <a:extLst>
            <a:ext uri="{FF2B5EF4-FFF2-40B4-BE49-F238E27FC236}">
              <a16:creationId xmlns:a16="http://schemas.microsoft.com/office/drawing/2014/main" id="{C55DD8C8-94F7-473F-AD06-14BC4617BC90}"/>
            </a:ext>
          </a:extLst>
        </xdr:cNvPr>
        <xdr:cNvCxnSpPr/>
      </xdr:nvCxnSpPr>
      <xdr:spPr>
        <a:xfrm flipH="1">
          <a:off x="3822700" y="4044950"/>
          <a:ext cx="368300" cy="31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596900</xdr:colOff>
      <xdr:row>2</xdr:row>
      <xdr:rowOff>95250</xdr:rowOff>
    </xdr:from>
    <xdr:to>
      <xdr:col>4</xdr:col>
      <xdr:colOff>12700</xdr:colOff>
      <xdr:row>2</xdr:row>
      <xdr:rowOff>95250</xdr:rowOff>
    </xdr:to>
    <xdr:cxnSp macro="">
      <xdr:nvCxnSpPr>
        <xdr:cNvPr id="2" name="Łącznik prosty ze strzałką 1">
          <a:extLst>
            <a:ext uri="{FF2B5EF4-FFF2-40B4-BE49-F238E27FC236}">
              <a16:creationId xmlns:a16="http://schemas.microsoft.com/office/drawing/2014/main" id="{FAFB2246-91F5-4188-A699-48158C0D244F}"/>
            </a:ext>
          </a:extLst>
        </xdr:cNvPr>
        <xdr:cNvCxnSpPr/>
      </xdr:nvCxnSpPr>
      <xdr:spPr>
        <a:xfrm>
          <a:off x="1384300" y="666750"/>
          <a:ext cx="1638300" cy="0"/>
        </a:xfrm>
        <a:prstGeom prst="straightConnector1">
          <a:avLst/>
        </a:prstGeom>
        <a:ln w="28575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12700</xdr:colOff>
      <xdr:row>2</xdr:row>
      <xdr:rowOff>76200</xdr:rowOff>
    </xdr:from>
    <xdr:to>
      <xdr:col>10</xdr:col>
      <xdr:colOff>19050</xdr:colOff>
      <xdr:row>2</xdr:row>
      <xdr:rowOff>101600</xdr:rowOff>
    </xdr:to>
    <xdr:cxnSp macro="">
      <xdr:nvCxnSpPr>
        <xdr:cNvPr id="3" name="Łącznik prosty ze strzałką 2">
          <a:extLst>
            <a:ext uri="{FF2B5EF4-FFF2-40B4-BE49-F238E27FC236}">
              <a16:creationId xmlns:a16="http://schemas.microsoft.com/office/drawing/2014/main" id="{5F9EAEC5-0B70-4400-9CD6-21876D05BFDC}"/>
            </a:ext>
          </a:extLst>
        </xdr:cNvPr>
        <xdr:cNvCxnSpPr/>
      </xdr:nvCxnSpPr>
      <xdr:spPr>
        <a:xfrm flipV="1">
          <a:off x="3632200" y="647700"/>
          <a:ext cx="4025900" cy="25400"/>
        </a:xfrm>
        <a:prstGeom prst="straightConnector1">
          <a:avLst/>
        </a:prstGeom>
        <a:ln w="28575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603250</xdr:colOff>
      <xdr:row>2</xdr:row>
      <xdr:rowOff>88900</xdr:rowOff>
    </xdr:from>
    <xdr:to>
      <xdr:col>21</xdr:col>
      <xdr:colOff>412750</xdr:colOff>
      <xdr:row>2</xdr:row>
      <xdr:rowOff>107950</xdr:rowOff>
    </xdr:to>
    <xdr:cxnSp macro="">
      <xdr:nvCxnSpPr>
        <xdr:cNvPr id="4" name="Łącznik prosty ze strzałką 3">
          <a:extLst>
            <a:ext uri="{FF2B5EF4-FFF2-40B4-BE49-F238E27FC236}">
              <a16:creationId xmlns:a16="http://schemas.microsoft.com/office/drawing/2014/main" id="{B499AB51-4D31-4655-B608-25510BBD0839}"/>
            </a:ext>
          </a:extLst>
        </xdr:cNvPr>
        <xdr:cNvCxnSpPr/>
      </xdr:nvCxnSpPr>
      <xdr:spPr>
        <a:xfrm flipV="1">
          <a:off x="8242300" y="660400"/>
          <a:ext cx="6515100" cy="19050"/>
        </a:xfrm>
        <a:prstGeom prst="straightConnector1">
          <a:avLst/>
        </a:prstGeom>
        <a:ln w="28575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247650</xdr:colOff>
      <xdr:row>3</xdr:row>
      <xdr:rowOff>25400</xdr:rowOff>
    </xdr:from>
    <xdr:to>
      <xdr:col>4</xdr:col>
      <xdr:colOff>254000</xdr:colOff>
      <xdr:row>6</xdr:row>
      <xdr:rowOff>171450</xdr:rowOff>
    </xdr:to>
    <xdr:cxnSp macro="">
      <xdr:nvCxnSpPr>
        <xdr:cNvPr id="5" name="Łącznik prosty ze strzałką 4">
          <a:extLst>
            <a:ext uri="{FF2B5EF4-FFF2-40B4-BE49-F238E27FC236}">
              <a16:creationId xmlns:a16="http://schemas.microsoft.com/office/drawing/2014/main" id="{96E310D7-F3DB-407C-87D2-2297BBA881DB}"/>
            </a:ext>
          </a:extLst>
        </xdr:cNvPr>
        <xdr:cNvCxnSpPr/>
      </xdr:nvCxnSpPr>
      <xdr:spPr>
        <a:xfrm flipV="1">
          <a:off x="3257550" y="774700"/>
          <a:ext cx="6350" cy="685800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260350</xdr:colOff>
      <xdr:row>8</xdr:row>
      <xdr:rowOff>31750</xdr:rowOff>
    </xdr:from>
    <xdr:to>
      <xdr:col>4</xdr:col>
      <xdr:colOff>260350</xdr:colOff>
      <xdr:row>12</xdr:row>
      <xdr:rowOff>133350</xdr:rowOff>
    </xdr:to>
    <xdr:cxnSp macro="">
      <xdr:nvCxnSpPr>
        <xdr:cNvPr id="6" name="Łącznik prosty ze strzałką 5">
          <a:extLst>
            <a:ext uri="{FF2B5EF4-FFF2-40B4-BE49-F238E27FC236}">
              <a16:creationId xmlns:a16="http://schemas.microsoft.com/office/drawing/2014/main" id="{D8C3CD92-1FA3-4085-B003-79BF53F690BF}"/>
            </a:ext>
          </a:extLst>
        </xdr:cNvPr>
        <xdr:cNvCxnSpPr/>
      </xdr:nvCxnSpPr>
      <xdr:spPr>
        <a:xfrm flipV="1">
          <a:off x="3270250" y="1676400"/>
          <a:ext cx="0" cy="812800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317500</xdr:colOff>
      <xdr:row>16</xdr:row>
      <xdr:rowOff>69850</xdr:rowOff>
    </xdr:from>
    <xdr:to>
      <xdr:col>7</xdr:col>
      <xdr:colOff>82550</xdr:colOff>
      <xdr:row>16</xdr:row>
      <xdr:rowOff>82550</xdr:rowOff>
    </xdr:to>
    <xdr:cxnSp macro="">
      <xdr:nvCxnSpPr>
        <xdr:cNvPr id="7" name="Łącznik prosty ze strzałką 6">
          <a:extLst>
            <a:ext uri="{FF2B5EF4-FFF2-40B4-BE49-F238E27FC236}">
              <a16:creationId xmlns:a16="http://schemas.microsoft.com/office/drawing/2014/main" id="{6A76655B-2E3C-40DF-A1E4-0BD38322AC0D}"/>
            </a:ext>
          </a:extLst>
        </xdr:cNvPr>
        <xdr:cNvCxnSpPr/>
      </xdr:nvCxnSpPr>
      <xdr:spPr>
        <a:xfrm>
          <a:off x="3327400" y="3136900"/>
          <a:ext cx="2000250" cy="12700"/>
        </a:xfrm>
        <a:prstGeom prst="straightConnector1">
          <a:avLst/>
        </a:prstGeom>
        <a:ln w="28575">
          <a:solidFill>
            <a:srgbClr val="9F115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16</xdr:row>
      <xdr:rowOff>82550</xdr:rowOff>
    </xdr:from>
    <xdr:to>
      <xdr:col>11</xdr:col>
      <xdr:colOff>419100</xdr:colOff>
      <xdr:row>16</xdr:row>
      <xdr:rowOff>82550</xdr:rowOff>
    </xdr:to>
    <xdr:cxnSp macro="">
      <xdr:nvCxnSpPr>
        <xdr:cNvPr id="8" name="Łącznik prosty ze strzałką 7">
          <a:extLst>
            <a:ext uri="{FF2B5EF4-FFF2-40B4-BE49-F238E27FC236}">
              <a16:creationId xmlns:a16="http://schemas.microsoft.com/office/drawing/2014/main" id="{7AE4E7CF-699F-4061-9B15-1330250CCACE}"/>
            </a:ext>
          </a:extLst>
        </xdr:cNvPr>
        <xdr:cNvCxnSpPr/>
      </xdr:nvCxnSpPr>
      <xdr:spPr>
        <a:xfrm>
          <a:off x="6140450" y="3149600"/>
          <a:ext cx="2527300" cy="0"/>
        </a:xfrm>
        <a:prstGeom prst="straightConnector1">
          <a:avLst/>
        </a:prstGeom>
        <a:ln w="28575">
          <a:solidFill>
            <a:srgbClr val="9F115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590550</xdr:colOff>
      <xdr:row>16</xdr:row>
      <xdr:rowOff>76200</xdr:rowOff>
    </xdr:from>
    <xdr:to>
      <xdr:col>4</xdr:col>
      <xdr:colOff>196850</xdr:colOff>
      <xdr:row>16</xdr:row>
      <xdr:rowOff>88900</xdr:rowOff>
    </xdr:to>
    <xdr:cxnSp macro="">
      <xdr:nvCxnSpPr>
        <xdr:cNvPr id="9" name="Łącznik prosty ze strzałką 8">
          <a:extLst>
            <a:ext uri="{FF2B5EF4-FFF2-40B4-BE49-F238E27FC236}">
              <a16:creationId xmlns:a16="http://schemas.microsoft.com/office/drawing/2014/main" id="{6E58965C-713A-4259-8E10-ED447FA20515}"/>
            </a:ext>
          </a:extLst>
        </xdr:cNvPr>
        <xdr:cNvCxnSpPr/>
      </xdr:nvCxnSpPr>
      <xdr:spPr>
        <a:xfrm flipV="1">
          <a:off x="1377950" y="3143250"/>
          <a:ext cx="1828800" cy="12700"/>
        </a:xfrm>
        <a:prstGeom prst="straightConnector1">
          <a:avLst/>
        </a:prstGeom>
        <a:ln w="28575">
          <a:solidFill>
            <a:srgbClr val="9F115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247650</xdr:colOff>
      <xdr:row>13</xdr:row>
      <xdr:rowOff>165100</xdr:rowOff>
    </xdr:from>
    <xdr:to>
      <xdr:col>4</xdr:col>
      <xdr:colOff>266700</xdr:colOff>
      <xdr:row>21</xdr:row>
      <xdr:rowOff>6350</xdr:rowOff>
    </xdr:to>
    <xdr:cxnSp macro="">
      <xdr:nvCxnSpPr>
        <xdr:cNvPr id="10" name="Łącznik prosty ze strzałką 9">
          <a:extLst>
            <a:ext uri="{FF2B5EF4-FFF2-40B4-BE49-F238E27FC236}">
              <a16:creationId xmlns:a16="http://schemas.microsoft.com/office/drawing/2014/main" id="{BDE15ED0-515F-4C6D-99CF-5366568F8089}"/>
            </a:ext>
          </a:extLst>
        </xdr:cNvPr>
        <xdr:cNvCxnSpPr/>
      </xdr:nvCxnSpPr>
      <xdr:spPr>
        <a:xfrm flipV="1">
          <a:off x="3257550" y="2698750"/>
          <a:ext cx="19050" cy="1270000"/>
        </a:xfrm>
        <a:prstGeom prst="straightConnector1">
          <a:avLst/>
        </a:prstGeom>
        <a:ln w="28575">
          <a:solidFill>
            <a:schemeClr val="accent3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13</xdr:row>
      <xdr:rowOff>133350</xdr:rowOff>
    </xdr:from>
    <xdr:to>
      <xdr:col>3</xdr:col>
      <xdr:colOff>330200</xdr:colOff>
      <xdr:row>16</xdr:row>
      <xdr:rowOff>82550</xdr:rowOff>
    </xdr:to>
    <xdr:cxnSp macro="">
      <xdr:nvCxnSpPr>
        <xdr:cNvPr id="11" name="Łącznik prosty 10">
          <a:extLst>
            <a:ext uri="{FF2B5EF4-FFF2-40B4-BE49-F238E27FC236}">
              <a16:creationId xmlns:a16="http://schemas.microsoft.com/office/drawing/2014/main" id="{AC13AD47-7C9D-4C43-9804-F394403AF9CB}"/>
            </a:ext>
          </a:extLst>
        </xdr:cNvPr>
        <xdr:cNvCxnSpPr/>
      </xdr:nvCxnSpPr>
      <xdr:spPr>
        <a:xfrm>
          <a:off x="2197100" y="2667000"/>
          <a:ext cx="6350" cy="482600"/>
        </a:xfrm>
        <a:prstGeom prst="line">
          <a:avLst/>
        </a:prstGeom>
        <a:ln w="28575">
          <a:solidFill>
            <a:srgbClr val="9F1155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13</xdr:row>
      <xdr:rowOff>120650</xdr:rowOff>
    </xdr:from>
    <xdr:to>
      <xdr:col>3</xdr:col>
      <xdr:colOff>1098550</xdr:colOff>
      <xdr:row>13</xdr:row>
      <xdr:rowOff>127000</xdr:rowOff>
    </xdr:to>
    <xdr:cxnSp macro="">
      <xdr:nvCxnSpPr>
        <xdr:cNvPr id="12" name="Łącznik prosty ze strzałką 11">
          <a:extLst>
            <a:ext uri="{FF2B5EF4-FFF2-40B4-BE49-F238E27FC236}">
              <a16:creationId xmlns:a16="http://schemas.microsoft.com/office/drawing/2014/main" id="{121ACCA7-73B5-4EB8-B0A8-8A98381DA64E}"/>
            </a:ext>
          </a:extLst>
        </xdr:cNvPr>
        <xdr:cNvCxnSpPr/>
      </xdr:nvCxnSpPr>
      <xdr:spPr>
        <a:xfrm>
          <a:off x="2190750" y="2654300"/>
          <a:ext cx="781050" cy="6350"/>
        </a:xfrm>
        <a:prstGeom prst="straightConnector1">
          <a:avLst/>
        </a:prstGeom>
        <a:ln w="28575">
          <a:solidFill>
            <a:srgbClr val="9F115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19</xdr:row>
      <xdr:rowOff>82550</xdr:rowOff>
    </xdr:from>
    <xdr:to>
      <xdr:col>16</xdr:col>
      <xdr:colOff>603250</xdr:colOff>
      <xdr:row>19</xdr:row>
      <xdr:rowOff>133350</xdr:rowOff>
    </xdr:to>
    <xdr:cxnSp macro="">
      <xdr:nvCxnSpPr>
        <xdr:cNvPr id="13" name="Łącznik prosty ze strzałką 12">
          <a:extLst>
            <a:ext uri="{FF2B5EF4-FFF2-40B4-BE49-F238E27FC236}">
              <a16:creationId xmlns:a16="http://schemas.microsoft.com/office/drawing/2014/main" id="{CD80EEC0-73FC-4D19-8ED9-3D8672B79205}"/>
            </a:ext>
          </a:extLst>
        </xdr:cNvPr>
        <xdr:cNvCxnSpPr/>
      </xdr:nvCxnSpPr>
      <xdr:spPr>
        <a:xfrm flipV="1">
          <a:off x="3295650" y="3689350"/>
          <a:ext cx="8604250" cy="50800"/>
        </a:xfrm>
        <a:prstGeom prst="straightConnector1">
          <a:avLst/>
        </a:prstGeom>
        <a:ln w="28575">
          <a:solidFill>
            <a:schemeClr val="accent3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463550</xdr:colOff>
      <xdr:row>0</xdr:row>
      <xdr:rowOff>381000</xdr:rowOff>
    </xdr:from>
    <xdr:to>
      <xdr:col>3</xdr:col>
      <xdr:colOff>476250</xdr:colOff>
      <xdr:row>6</xdr:row>
      <xdr:rowOff>12700</xdr:rowOff>
    </xdr:to>
    <xdr:cxnSp macro="">
      <xdr:nvCxnSpPr>
        <xdr:cNvPr id="14" name="Łącznik prosty ze strzałką 13">
          <a:extLst>
            <a:ext uri="{FF2B5EF4-FFF2-40B4-BE49-F238E27FC236}">
              <a16:creationId xmlns:a16="http://schemas.microsoft.com/office/drawing/2014/main" id="{EBE61CE1-D759-4399-8906-3252EF1B92AB}"/>
            </a:ext>
          </a:extLst>
        </xdr:cNvPr>
        <xdr:cNvCxnSpPr/>
      </xdr:nvCxnSpPr>
      <xdr:spPr>
        <a:xfrm>
          <a:off x="2336800" y="381000"/>
          <a:ext cx="12700" cy="920750"/>
        </a:xfrm>
        <a:prstGeom prst="straightConnector1">
          <a:avLst/>
        </a:prstGeom>
        <a:ln w="38100">
          <a:solidFill>
            <a:schemeClr val="accent2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4</xdr:row>
      <xdr:rowOff>127000</xdr:rowOff>
    </xdr:from>
    <xdr:to>
      <xdr:col>8</xdr:col>
      <xdr:colOff>25400</xdr:colOff>
      <xdr:row>13</xdr:row>
      <xdr:rowOff>146050</xdr:rowOff>
    </xdr:to>
    <xdr:cxnSp macro="">
      <xdr:nvCxnSpPr>
        <xdr:cNvPr id="15" name="Łącznik prosty ze strzałką 14">
          <a:extLst>
            <a:ext uri="{FF2B5EF4-FFF2-40B4-BE49-F238E27FC236}">
              <a16:creationId xmlns:a16="http://schemas.microsoft.com/office/drawing/2014/main" id="{80B8A8DF-FC50-4C6E-8421-85361C8332DA}"/>
            </a:ext>
          </a:extLst>
        </xdr:cNvPr>
        <xdr:cNvCxnSpPr/>
      </xdr:nvCxnSpPr>
      <xdr:spPr>
        <a:xfrm flipH="1" flipV="1">
          <a:off x="6159500" y="1054100"/>
          <a:ext cx="6350" cy="1625600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590550</xdr:colOff>
      <xdr:row>16</xdr:row>
      <xdr:rowOff>76200</xdr:rowOff>
    </xdr:from>
    <xdr:to>
      <xdr:col>8</xdr:col>
      <xdr:colOff>196850</xdr:colOff>
      <xdr:row>16</xdr:row>
      <xdr:rowOff>88900</xdr:rowOff>
    </xdr:to>
    <xdr:cxnSp macro="">
      <xdr:nvCxnSpPr>
        <xdr:cNvPr id="16" name="Łącznik prosty ze strzałką 15">
          <a:extLst>
            <a:ext uri="{FF2B5EF4-FFF2-40B4-BE49-F238E27FC236}">
              <a16:creationId xmlns:a16="http://schemas.microsoft.com/office/drawing/2014/main" id="{06ED67D0-88EE-419A-BF62-874CD61F450B}"/>
            </a:ext>
          </a:extLst>
        </xdr:cNvPr>
        <xdr:cNvCxnSpPr/>
      </xdr:nvCxnSpPr>
      <xdr:spPr>
        <a:xfrm flipV="1">
          <a:off x="4210050" y="3143250"/>
          <a:ext cx="2127250" cy="12700"/>
        </a:xfrm>
        <a:prstGeom prst="straightConnector1">
          <a:avLst/>
        </a:prstGeom>
        <a:ln w="28575">
          <a:solidFill>
            <a:srgbClr val="9F115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114300</xdr:colOff>
      <xdr:row>13</xdr:row>
      <xdr:rowOff>114300</xdr:rowOff>
    </xdr:from>
    <xdr:to>
      <xdr:col>7</xdr:col>
      <xdr:colOff>120650</xdr:colOff>
      <xdr:row>16</xdr:row>
      <xdr:rowOff>63500</xdr:rowOff>
    </xdr:to>
    <xdr:cxnSp macro="">
      <xdr:nvCxnSpPr>
        <xdr:cNvPr id="17" name="Łącznik prosty 16">
          <a:extLst>
            <a:ext uri="{FF2B5EF4-FFF2-40B4-BE49-F238E27FC236}">
              <a16:creationId xmlns:a16="http://schemas.microsoft.com/office/drawing/2014/main" id="{D5D76C74-6FAF-4411-8081-85817CBB0E17}"/>
            </a:ext>
          </a:extLst>
        </xdr:cNvPr>
        <xdr:cNvCxnSpPr/>
      </xdr:nvCxnSpPr>
      <xdr:spPr>
        <a:xfrm>
          <a:off x="5359400" y="2647950"/>
          <a:ext cx="6350" cy="482600"/>
        </a:xfrm>
        <a:prstGeom prst="line">
          <a:avLst/>
        </a:prstGeom>
        <a:ln w="28575">
          <a:solidFill>
            <a:srgbClr val="9F1155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114300</xdr:colOff>
      <xdr:row>13</xdr:row>
      <xdr:rowOff>127000</xdr:rowOff>
    </xdr:from>
    <xdr:to>
      <xdr:col>8</xdr:col>
      <xdr:colOff>0</xdr:colOff>
      <xdr:row>13</xdr:row>
      <xdr:rowOff>139700</xdr:rowOff>
    </xdr:to>
    <xdr:cxnSp macro="">
      <xdr:nvCxnSpPr>
        <xdr:cNvPr id="18" name="Łącznik prosty ze strzałką 17">
          <a:extLst>
            <a:ext uri="{FF2B5EF4-FFF2-40B4-BE49-F238E27FC236}">
              <a16:creationId xmlns:a16="http://schemas.microsoft.com/office/drawing/2014/main" id="{CD36C531-087E-40C7-A79B-01E6CBC6AA8F}"/>
            </a:ext>
          </a:extLst>
        </xdr:cNvPr>
        <xdr:cNvCxnSpPr/>
      </xdr:nvCxnSpPr>
      <xdr:spPr>
        <a:xfrm flipV="1">
          <a:off x="5359400" y="2660650"/>
          <a:ext cx="781050" cy="12700"/>
        </a:xfrm>
        <a:prstGeom prst="straightConnector1">
          <a:avLst/>
        </a:prstGeom>
        <a:ln w="28575">
          <a:solidFill>
            <a:srgbClr val="9F115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158750</xdr:colOff>
      <xdr:row>5</xdr:row>
      <xdr:rowOff>6350</xdr:rowOff>
    </xdr:from>
    <xdr:to>
      <xdr:col>13</xdr:col>
      <xdr:colOff>171450</xdr:colOff>
      <xdr:row>13</xdr:row>
      <xdr:rowOff>50800</xdr:rowOff>
    </xdr:to>
    <xdr:cxnSp macro="">
      <xdr:nvCxnSpPr>
        <xdr:cNvPr id="19" name="Łącznik prosty ze strzałką 18">
          <a:extLst>
            <a:ext uri="{FF2B5EF4-FFF2-40B4-BE49-F238E27FC236}">
              <a16:creationId xmlns:a16="http://schemas.microsoft.com/office/drawing/2014/main" id="{48B07121-247B-41D8-8540-127F2E6CE512}"/>
            </a:ext>
          </a:extLst>
        </xdr:cNvPr>
        <xdr:cNvCxnSpPr/>
      </xdr:nvCxnSpPr>
      <xdr:spPr>
        <a:xfrm flipH="1" flipV="1">
          <a:off x="9626600" y="1111250"/>
          <a:ext cx="12700" cy="1473200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414798</xdr:colOff>
      <xdr:row>16</xdr:row>
      <xdr:rowOff>81935</xdr:rowOff>
    </xdr:from>
    <xdr:to>
      <xdr:col>15</xdr:col>
      <xdr:colOff>30725</xdr:colOff>
      <xdr:row>16</xdr:row>
      <xdr:rowOff>97298</xdr:rowOff>
    </xdr:to>
    <xdr:cxnSp macro="">
      <xdr:nvCxnSpPr>
        <xdr:cNvPr id="20" name="Łącznik prosty ze strzałką 19">
          <a:extLst>
            <a:ext uri="{FF2B5EF4-FFF2-40B4-BE49-F238E27FC236}">
              <a16:creationId xmlns:a16="http://schemas.microsoft.com/office/drawing/2014/main" id="{ECF94CAF-24C9-4185-B41F-441D82BFAF49}"/>
            </a:ext>
          </a:extLst>
        </xdr:cNvPr>
        <xdr:cNvCxnSpPr/>
      </xdr:nvCxnSpPr>
      <xdr:spPr>
        <a:xfrm flipV="1">
          <a:off x="8663448" y="3148985"/>
          <a:ext cx="2054327" cy="15363"/>
        </a:xfrm>
        <a:prstGeom prst="straightConnector1">
          <a:avLst/>
        </a:prstGeom>
        <a:ln w="28575">
          <a:solidFill>
            <a:srgbClr val="9F115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13</xdr:row>
      <xdr:rowOff>101600</xdr:rowOff>
    </xdr:from>
    <xdr:to>
      <xdr:col>12</xdr:col>
      <xdr:colOff>6350</xdr:colOff>
      <xdr:row>16</xdr:row>
      <xdr:rowOff>50800</xdr:rowOff>
    </xdr:to>
    <xdr:cxnSp macro="">
      <xdr:nvCxnSpPr>
        <xdr:cNvPr id="21" name="Łącznik prosty 20">
          <a:extLst>
            <a:ext uri="{FF2B5EF4-FFF2-40B4-BE49-F238E27FC236}">
              <a16:creationId xmlns:a16="http://schemas.microsoft.com/office/drawing/2014/main" id="{33B2B8E2-6AF0-42E3-A669-E60DA6ED937B}"/>
            </a:ext>
          </a:extLst>
        </xdr:cNvPr>
        <xdr:cNvCxnSpPr/>
      </xdr:nvCxnSpPr>
      <xdr:spPr>
        <a:xfrm>
          <a:off x="8858250" y="2635250"/>
          <a:ext cx="6350" cy="482600"/>
        </a:xfrm>
        <a:prstGeom prst="line">
          <a:avLst/>
        </a:prstGeom>
        <a:ln w="28575">
          <a:solidFill>
            <a:srgbClr val="9F1155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31750</xdr:colOff>
      <xdr:row>13</xdr:row>
      <xdr:rowOff>114300</xdr:rowOff>
    </xdr:from>
    <xdr:to>
      <xdr:col>13</xdr:col>
      <xdr:colOff>190500</xdr:colOff>
      <xdr:row>13</xdr:row>
      <xdr:rowOff>120650</xdr:rowOff>
    </xdr:to>
    <xdr:cxnSp macro="">
      <xdr:nvCxnSpPr>
        <xdr:cNvPr id="22" name="Łącznik prosty ze strzałką 21">
          <a:extLst>
            <a:ext uri="{FF2B5EF4-FFF2-40B4-BE49-F238E27FC236}">
              <a16:creationId xmlns:a16="http://schemas.microsoft.com/office/drawing/2014/main" id="{F67DC543-0655-4EF0-B76B-E35C124E4542}"/>
            </a:ext>
          </a:extLst>
        </xdr:cNvPr>
        <xdr:cNvCxnSpPr/>
      </xdr:nvCxnSpPr>
      <xdr:spPr>
        <a:xfrm flipV="1">
          <a:off x="8890000" y="2647950"/>
          <a:ext cx="768350" cy="6350"/>
        </a:xfrm>
        <a:prstGeom prst="straightConnector1">
          <a:avLst/>
        </a:prstGeom>
        <a:ln w="28575">
          <a:solidFill>
            <a:srgbClr val="9F115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63500</xdr:colOff>
      <xdr:row>5</xdr:row>
      <xdr:rowOff>12700</xdr:rowOff>
    </xdr:from>
    <xdr:to>
      <xdr:col>10</xdr:col>
      <xdr:colOff>279400</xdr:colOff>
      <xdr:row>5</xdr:row>
      <xdr:rowOff>12700</xdr:rowOff>
    </xdr:to>
    <xdr:cxnSp macro="">
      <xdr:nvCxnSpPr>
        <xdr:cNvPr id="23" name="Łącznik prosty ze strzałką 22">
          <a:extLst>
            <a:ext uri="{FF2B5EF4-FFF2-40B4-BE49-F238E27FC236}">
              <a16:creationId xmlns:a16="http://schemas.microsoft.com/office/drawing/2014/main" id="{F22C81BD-26EA-45A7-B2D6-03A5279E4D69}"/>
            </a:ext>
          </a:extLst>
        </xdr:cNvPr>
        <xdr:cNvCxnSpPr/>
      </xdr:nvCxnSpPr>
      <xdr:spPr>
        <a:xfrm>
          <a:off x="6203950" y="1117600"/>
          <a:ext cx="1714500" cy="0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260350</xdr:colOff>
      <xdr:row>8</xdr:row>
      <xdr:rowOff>31750</xdr:rowOff>
    </xdr:from>
    <xdr:to>
      <xdr:col>17</xdr:col>
      <xdr:colOff>260350</xdr:colOff>
      <xdr:row>12</xdr:row>
      <xdr:rowOff>133350</xdr:rowOff>
    </xdr:to>
    <xdr:cxnSp macro="">
      <xdr:nvCxnSpPr>
        <xdr:cNvPr id="24" name="Łącznik prosty ze strzałką 23">
          <a:extLst>
            <a:ext uri="{FF2B5EF4-FFF2-40B4-BE49-F238E27FC236}">
              <a16:creationId xmlns:a16="http://schemas.microsoft.com/office/drawing/2014/main" id="{8CE5D2DD-0067-4598-AC24-A590870FEDDA}"/>
            </a:ext>
          </a:extLst>
        </xdr:cNvPr>
        <xdr:cNvCxnSpPr/>
      </xdr:nvCxnSpPr>
      <xdr:spPr>
        <a:xfrm flipV="1">
          <a:off x="12166600" y="1676400"/>
          <a:ext cx="0" cy="812800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590550</xdr:colOff>
      <xdr:row>16</xdr:row>
      <xdr:rowOff>88900</xdr:rowOff>
    </xdr:from>
    <xdr:to>
      <xdr:col>16</xdr:col>
      <xdr:colOff>358468</xdr:colOff>
      <xdr:row>16</xdr:row>
      <xdr:rowOff>92177</xdr:rowOff>
    </xdr:to>
    <xdr:cxnSp macro="">
      <xdr:nvCxnSpPr>
        <xdr:cNvPr id="25" name="Łącznik prosty ze strzałką 24">
          <a:extLst>
            <a:ext uri="{FF2B5EF4-FFF2-40B4-BE49-F238E27FC236}">
              <a16:creationId xmlns:a16="http://schemas.microsoft.com/office/drawing/2014/main" id="{B959C91F-A609-423E-B136-DC03AD075AF2}"/>
            </a:ext>
          </a:extLst>
        </xdr:cNvPr>
        <xdr:cNvCxnSpPr/>
      </xdr:nvCxnSpPr>
      <xdr:spPr>
        <a:xfrm>
          <a:off x="10668000" y="3155950"/>
          <a:ext cx="987118" cy="3277"/>
        </a:xfrm>
        <a:prstGeom prst="straightConnector1">
          <a:avLst/>
        </a:prstGeom>
        <a:ln w="28575">
          <a:solidFill>
            <a:srgbClr val="9F115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323850</xdr:colOff>
      <xdr:row>13</xdr:row>
      <xdr:rowOff>133350</xdr:rowOff>
    </xdr:from>
    <xdr:to>
      <xdr:col>16</xdr:col>
      <xdr:colOff>330200</xdr:colOff>
      <xdr:row>16</xdr:row>
      <xdr:rowOff>82550</xdr:rowOff>
    </xdr:to>
    <xdr:cxnSp macro="">
      <xdr:nvCxnSpPr>
        <xdr:cNvPr id="26" name="Łącznik prosty 25">
          <a:extLst>
            <a:ext uri="{FF2B5EF4-FFF2-40B4-BE49-F238E27FC236}">
              <a16:creationId xmlns:a16="http://schemas.microsoft.com/office/drawing/2014/main" id="{65591A3C-93F1-4F03-AE39-8D2D90E98A57}"/>
            </a:ext>
          </a:extLst>
        </xdr:cNvPr>
        <xdr:cNvCxnSpPr/>
      </xdr:nvCxnSpPr>
      <xdr:spPr>
        <a:xfrm>
          <a:off x="11620500" y="2667000"/>
          <a:ext cx="6350" cy="482600"/>
        </a:xfrm>
        <a:prstGeom prst="line">
          <a:avLst/>
        </a:prstGeom>
        <a:ln w="28575">
          <a:solidFill>
            <a:srgbClr val="9F1155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317500</xdr:colOff>
      <xdr:row>13</xdr:row>
      <xdr:rowOff>120650</xdr:rowOff>
    </xdr:from>
    <xdr:to>
      <xdr:col>16</xdr:col>
      <xdr:colOff>1098550</xdr:colOff>
      <xdr:row>13</xdr:row>
      <xdr:rowOff>127000</xdr:rowOff>
    </xdr:to>
    <xdr:cxnSp macro="">
      <xdr:nvCxnSpPr>
        <xdr:cNvPr id="27" name="Łącznik prosty ze strzałką 26">
          <a:extLst>
            <a:ext uri="{FF2B5EF4-FFF2-40B4-BE49-F238E27FC236}">
              <a16:creationId xmlns:a16="http://schemas.microsoft.com/office/drawing/2014/main" id="{90CDC4D4-0A7E-4BD4-824F-95A11B3C3D7B}"/>
            </a:ext>
          </a:extLst>
        </xdr:cNvPr>
        <xdr:cNvCxnSpPr/>
      </xdr:nvCxnSpPr>
      <xdr:spPr>
        <a:xfrm>
          <a:off x="11614150" y="2654300"/>
          <a:ext cx="292100" cy="6350"/>
        </a:xfrm>
        <a:prstGeom prst="straightConnector1">
          <a:avLst/>
        </a:prstGeom>
        <a:ln w="28575">
          <a:solidFill>
            <a:srgbClr val="9F115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425450</xdr:colOff>
      <xdr:row>5</xdr:row>
      <xdr:rowOff>12700</xdr:rowOff>
    </xdr:from>
    <xdr:to>
      <xdr:col>13</xdr:col>
      <xdr:colOff>165100</xdr:colOff>
      <xdr:row>5</xdr:row>
      <xdr:rowOff>19050</xdr:rowOff>
    </xdr:to>
    <xdr:cxnSp macro="">
      <xdr:nvCxnSpPr>
        <xdr:cNvPr id="28" name="Łącznik prosty ze strzałką 27">
          <a:extLst>
            <a:ext uri="{FF2B5EF4-FFF2-40B4-BE49-F238E27FC236}">
              <a16:creationId xmlns:a16="http://schemas.microsoft.com/office/drawing/2014/main" id="{8D08B820-15D2-4777-8E37-1279D236ECA6}"/>
            </a:ext>
          </a:extLst>
        </xdr:cNvPr>
        <xdr:cNvCxnSpPr/>
      </xdr:nvCxnSpPr>
      <xdr:spPr>
        <a:xfrm flipH="1">
          <a:off x="8064500" y="1117600"/>
          <a:ext cx="1568450" cy="6350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279400</xdr:colOff>
      <xdr:row>2</xdr:row>
      <xdr:rowOff>158750</xdr:rowOff>
    </xdr:from>
    <xdr:to>
      <xdr:col>10</xdr:col>
      <xdr:colOff>279400</xdr:colOff>
      <xdr:row>3</xdr:row>
      <xdr:rowOff>171450</xdr:rowOff>
    </xdr:to>
    <xdr:cxnSp macro="">
      <xdr:nvCxnSpPr>
        <xdr:cNvPr id="29" name="Łącznik prosty ze strzałką 28">
          <a:extLst>
            <a:ext uri="{FF2B5EF4-FFF2-40B4-BE49-F238E27FC236}">
              <a16:creationId xmlns:a16="http://schemas.microsoft.com/office/drawing/2014/main" id="{ACA8F5B8-6910-4714-83E7-08D8FCBD3FF6}"/>
            </a:ext>
          </a:extLst>
        </xdr:cNvPr>
        <xdr:cNvCxnSpPr/>
      </xdr:nvCxnSpPr>
      <xdr:spPr>
        <a:xfrm flipV="1">
          <a:off x="7918450" y="730250"/>
          <a:ext cx="0" cy="190500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8467</xdr:colOff>
      <xdr:row>13</xdr:row>
      <xdr:rowOff>169333</xdr:rowOff>
    </xdr:from>
    <xdr:to>
      <xdr:col>8</xdr:col>
      <xdr:colOff>25400</xdr:colOff>
      <xdr:row>19</xdr:row>
      <xdr:rowOff>114300</xdr:rowOff>
    </xdr:to>
    <xdr:cxnSp macro="">
      <xdr:nvCxnSpPr>
        <xdr:cNvPr id="30" name="Łącznik prosty ze strzałką 29">
          <a:extLst>
            <a:ext uri="{FF2B5EF4-FFF2-40B4-BE49-F238E27FC236}">
              <a16:creationId xmlns:a16="http://schemas.microsoft.com/office/drawing/2014/main" id="{AEF768C6-F99A-4F07-859D-3E861E57C26C}"/>
            </a:ext>
          </a:extLst>
        </xdr:cNvPr>
        <xdr:cNvCxnSpPr/>
      </xdr:nvCxnSpPr>
      <xdr:spPr>
        <a:xfrm flipH="1" flipV="1">
          <a:off x="6148917" y="2702983"/>
          <a:ext cx="16933" cy="1018117"/>
        </a:xfrm>
        <a:prstGeom prst="straightConnector1">
          <a:avLst/>
        </a:prstGeom>
        <a:ln w="28575">
          <a:solidFill>
            <a:schemeClr val="accent3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16933</xdr:colOff>
      <xdr:row>13</xdr:row>
      <xdr:rowOff>101600</xdr:rowOff>
    </xdr:from>
    <xdr:to>
      <xdr:col>13</xdr:col>
      <xdr:colOff>31750</xdr:colOff>
      <xdr:row>19</xdr:row>
      <xdr:rowOff>95250</xdr:rowOff>
    </xdr:to>
    <xdr:cxnSp macro="">
      <xdr:nvCxnSpPr>
        <xdr:cNvPr id="31" name="Łącznik prosty ze strzałką 30">
          <a:extLst>
            <a:ext uri="{FF2B5EF4-FFF2-40B4-BE49-F238E27FC236}">
              <a16:creationId xmlns:a16="http://schemas.microsoft.com/office/drawing/2014/main" id="{FD04BF23-7E19-49F2-BACE-3A260FAEA066}"/>
            </a:ext>
          </a:extLst>
        </xdr:cNvPr>
        <xdr:cNvCxnSpPr/>
      </xdr:nvCxnSpPr>
      <xdr:spPr>
        <a:xfrm flipH="1" flipV="1">
          <a:off x="9484783" y="2635250"/>
          <a:ext cx="14817" cy="1066800"/>
        </a:xfrm>
        <a:prstGeom prst="straightConnector1">
          <a:avLst/>
        </a:prstGeom>
        <a:ln w="28575">
          <a:solidFill>
            <a:schemeClr val="accent3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541866</xdr:colOff>
      <xdr:row>14</xdr:row>
      <xdr:rowOff>16933</xdr:rowOff>
    </xdr:from>
    <xdr:to>
      <xdr:col>16</xdr:col>
      <xdr:colOff>571500</xdr:colOff>
      <xdr:row>19</xdr:row>
      <xdr:rowOff>63500</xdr:rowOff>
    </xdr:to>
    <xdr:cxnSp macro="">
      <xdr:nvCxnSpPr>
        <xdr:cNvPr id="32" name="Łącznik prosty ze strzałką 31">
          <a:extLst>
            <a:ext uri="{FF2B5EF4-FFF2-40B4-BE49-F238E27FC236}">
              <a16:creationId xmlns:a16="http://schemas.microsoft.com/office/drawing/2014/main" id="{FAB38823-C45F-4EF9-A62C-08731CBEA3BF}"/>
            </a:ext>
          </a:extLst>
        </xdr:cNvPr>
        <xdr:cNvCxnSpPr/>
      </xdr:nvCxnSpPr>
      <xdr:spPr>
        <a:xfrm flipH="1" flipV="1">
          <a:off x="11838516" y="2728383"/>
          <a:ext cx="29634" cy="941917"/>
        </a:xfrm>
        <a:prstGeom prst="straightConnector1">
          <a:avLst/>
        </a:prstGeom>
        <a:ln w="28575">
          <a:solidFill>
            <a:schemeClr val="accent3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19050</xdr:colOff>
      <xdr:row>7</xdr:row>
      <xdr:rowOff>63500</xdr:rowOff>
    </xdr:from>
    <xdr:to>
      <xdr:col>20</xdr:col>
      <xdr:colOff>31750</xdr:colOff>
      <xdr:row>7</xdr:row>
      <xdr:rowOff>76200</xdr:rowOff>
    </xdr:to>
    <xdr:cxnSp macro="">
      <xdr:nvCxnSpPr>
        <xdr:cNvPr id="33" name="Łącznik prosty ze strzałką 32">
          <a:extLst>
            <a:ext uri="{FF2B5EF4-FFF2-40B4-BE49-F238E27FC236}">
              <a16:creationId xmlns:a16="http://schemas.microsoft.com/office/drawing/2014/main" id="{E92B3E3C-EC4B-4867-B5B4-380F12F0889F}"/>
            </a:ext>
          </a:extLst>
        </xdr:cNvPr>
        <xdr:cNvCxnSpPr/>
      </xdr:nvCxnSpPr>
      <xdr:spPr>
        <a:xfrm flipV="1">
          <a:off x="12534900" y="1530350"/>
          <a:ext cx="1231900" cy="12700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12700</xdr:colOff>
      <xdr:row>7</xdr:row>
      <xdr:rowOff>69850</xdr:rowOff>
    </xdr:from>
    <xdr:to>
      <xdr:col>20</xdr:col>
      <xdr:colOff>19050</xdr:colOff>
      <xdr:row>9</xdr:row>
      <xdr:rowOff>6350</xdr:rowOff>
    </xdr:to>
    <xdr:cxnSp macro="">
      <xdr:nvCxnSpPr>
        <xdr:cNvPr id="34" name="Łącznik prosty ze strzałką 33">
          <a:extLst>
            <a:ext uri="{FF2B5EF4-FFF2-40B4-BE49-F238E27FC236}">
              <a16:creationId xmlns:a16="http://schemas.microsoft.com/office/drawing/2014/main" id="{3E92825F-F17C-471A-89D2-C9358AB4D2ED}"/>
            </a:ext>
          </a:extLst>
        </xdr:cNvPr>
        <xdr:cNvCxnSpPr/>
      </xdr:nvCxnSpPr>
      <xdr:spPr>
        <a:xfrm>
          <a:off x="13747750" y="1536700"/>
          <a:ext cx="6350" cy="292100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158750</xdr:colOff>
      <xdr:row>2</xdr:row>
      <xdr:rowOff>107950</xdr:rowOff>
    </xdr:from>
    <xdr:to>
      <xdr:col>20</xdr:col>
      <xdr:colOff>171450</xdr:colOff>
      <xdr:row>5</xdr:row>
      <xdr:rowOff>25400</xdr:rowOff>
    </xdr:to>
    <xdr:cxnSp macro="">
      <xdr:nvCxnSpPr>
        <xdr:cNvPr id="35" name="Łącznik prosty ze strzałką 34">
          <a:extLst>
            <a:ext uri="{FF2B5EF4-FFF2-40B4-BE49-F238E27FC236}">
              <a16:creationId xmlns:a16="http://schemas.microsoft.com/office/drawing/2014/main" id="{19AED147-7CD8-41F9-B85C-8EE148001353}"/>
            </a:ext>
          </a:extLst>
        </xdr:cNvPr>
        <xdr:cNvCxnSpPr/>
      </xdr:nvCxnSpPr>
      <xdr:spPr>
        <a:xfrm>
          <a:off x="13893800" y="679450"/>
          <a:ext cx="12700" cy="450850"/>
        </a:xfrm>
        <a:prstGeom prst="straightConnector1">
          <a:avLst/>
        </a:prstGeom>
        <a:ln w="28575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196850</xdr:colOff>
      <xdr:row>6</xdr:row>
      <xdr:rowOff>31750</xdr:rowOff>
    </xdr:from>
    <xdr:to>
      <xdr:col>20</xdr:col>
      <xdr:colOff>209550</xdr:colOff>
      <xdr:row>8</xdr:row>
      <xdr:rowOff>127000</xdr:rowOff>
    </xdr:to>
    <xdr:cxnSp macro="">
      <xdr:nvCxnSpPr>
        <xdr:cNvPr id="36" name="Łącznik prosty ze strzałką 35">
          <a:extLst>
            <a:ext uri="{FF2B5EF4-FFF2-40B4-BE49-F238E27FC236}">
              <a16:creationId xmlns:a16="http://schemas.microsoft.com/office/drawing/2014/main" id="{37595072-1E7F-4FE5-80F6-B7EF2B860CFC}"/>
            </a:ext>
          </a:extLst>
        </xdr:cNvPr>
        <xdr:cNvCxnSpPr/>
      </xdr:nvCxnSpPr>
      <xdr:spPr>
        <a:xfrm>
          <a:off x="13931900" y="1320800"/>
          <a:ext cx="12700" cy="450850"/>
        </a:xfrm>
        <a:prstGeom prst="straightConnector1">
          <a:avLst/>
        </a:prstGeom>
        <a:ln w="28575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6350</xdr:colOff>
      <xdr:row>15</xdr:row>
      <xdr:rowOff>95250</xdr:rowOff>
    </xdr:from>
    <xdr:to>
      <xdr:col>22</xdr:col>
      <xdr:colOff>0</xdr:colOff>
      <xdr:row>15</xdr:row>
      <xdr:rowOff>95250</xdr:rowOff>
    </xdr:to>
    <xdr:cxnSp macro="">
      <xdr:nvCxnSpPr>
        <xdr:cNvPr id="37" name="Łącznik prosty ze strzałką 36">
          <a:extLst>
            <a:ext uri="{FF2B5EF4-FFF2-40B4-BE49-F238E27FC236}">
              <a16:creationId xmlns:a16="http://schemas.microsoft.com/office/drawing/2014/main" id="{728CB0C9-CD10-4D44-B770-EA83CE5EF35A}"/>
            </a:ext>
          </a:extLst>
        </xdr:cNvPr>
        <xdr:cNvCxnSpPr/>
      </xdr:nvCxnSpPr>
      <xdr:spPr>
        <a:xfrm>
          <a:off x="14351000" y="2984500"/>
          <a:ext cx="603250" cy="0"/>
        </a:xfrm>
        <a:prstGeom prst="straightConnector1">
          <a:avLst/>
        </a:prstGeom>
        <a:ln w="28575">
          <a:solidFill>
            <a:srgbClr val="9F115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215900</xdr:colOff>
      <xdr:row>10</xdr:row>
      <xdr:rowOff>82550</xdr:rowOff>
    </xdr:from>
    <xdr:to>
      <xdr:col>20</xdr:col>
      <xdr:colOff>228600</xdr:colOff>
      <xdr:row>15</xdr:row>
      <xdr:rowOff>69850</xdr:rowOff>
    </xdr:to>
    <xdr:cxnSp macro="">
      <xdr:nvCxnSpPr>
        <xdr:cNvPr id="38" name="Łącznik prosty ze strzałką 37">
          <a:extLst>
            <a:ext uri="{FF2B5EF4-FFF2-40B4-BE49-F238E27FC236}">
              <a16:creationId xmlns:a16="http://schemas.microsoft.com/office/drawing/2014/main" id="{D4F5B785-2C8B-4369-8EE1-940442BB3FCC}"/>
            </a:ext>
          </a:extLst>
        </xdr:cNvPr>
        <xdr:cNvCxnSpPr/>
      </xdr:nvCxnSpPr>
      <xdr:spPr>
        <a:xfrm>
          <a:off x="13950950" y="2082800"/>
          <a:ext cx="12700" cy="876300"/>
        </a:xfrm>
        <a:prstGeom prst="straightConnector1">
          <a:avLst/>
        </a:prstGeom>
        <a:ln w="28575">
          <a:solidFill>
            <a:srgbClr val="9F115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838200</xdr:colOff>
      <xdr:row>1</xdr:row>
      <xdr:rowOff>0</xdr:rowOff>
    </xdr:from>
    <xdr:to>
      <xdr:col>9</xdr:col>
      <xdr:colOff>571500</xdr:colOff>
      <xdr:row>4</xdr:row>
      <xdr:rowOff>38100</xdr:rowOff>
    </xdr:to>
    <xdr:cxnSp macro="">
      <xdr:nvCxnSpPr>
        <xdr:cNvPr id="39" name="Łącznik prosty ze strzałką 38">
          <a:extLst>
            <a:ext uri="{FF2B5EF4-FFF2-40B4-BE49-F238E27FC236}">
              <a16:creationId xmlns:a16="http://schemas.microsoft.com/office/drawing/2014/main" id="{5CF14B95-BC1A-4338-9634-CB3527D7655A}"/>
            </a:ext>
          </a:extLst>
        </xdr:cNvPr>
        <xdr:cNvCxnSpPr/>
      </xdr:nvCxnSpPr>
      <xdr:spPr>
        <a:xfrm>
          <a:off x="6083300" y="393700"/>
          <a:ext cx="1517650" cy="5715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203200</xdr:colOff>
      <xdr:row>21</xdr:row>
      <xdr:rowOff>82550</xdr:rowOff>
    </xdr:from>
    <xdr:to>
      <xdr:col>5</xdr:col>
      <xdr:colOff>571500</xdr:colOff>
      <xdr:row>21</xdr:row>
      <xdr:rowOff>114300</xdr:rowOff>
    </xdr:to>
    <xdr:cxnSp macro="">
      <xdr:nvCxnSpPr>
        <xdr:cNvPr id="40" name="Łącznik prosty ze strzałką 39">
          <a:extLst>
            <a:ext uri="{FF2B5EF4-FFF2-40B4-BE49-F238E27FC236}">
              <a16:creationId xmlns:a16="http://schemas.microsoft.com/office/drawing/2014/main" id="{4FB8B240-813A-4557-8415-B73EBB27E730}"/>
            </a:ext>
          </a:extLst>
        </xdr:cNvPr>
        <xdr:cNvCxnSpPr/>
      </xdr:nvCxnSpPr>
      <xdr:spPr>
        <a:xfrm flipH="1">
          <a:off x="3822700" y="4044950"/>
          <a:ext cx="368300" cy="31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259824</xdr:colOff>
      <xdr:row>20</xdr:row>
      <xdr:rowOff>76462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87233F99-6E33-4AAB-B90D-084CF0460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527024" cy="363246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F275F-C6A8-4605-A963-84C216470528}">
  <dimension ref="A1:R24"/>
  <sheetViews>
    <sheetView tabSelected="1" workbookViewId="0">
      <selection activeCell="E24" sqref="E24"/>
    </sheetView>
  </sheetViews>
  <sheetFormatPr defaultRowHeight="14" x14ac:dyDescent="0.3"/>
  <cols>
    <col min="2" max="2" width="11.54296875" customWidth="1"/>
  </cols>
  <sheetData>
    <row r="1" spans="1:18" x14ac:dyDescent="0.3">
      <c r="I1" t="s">
        <v>0</v>
      </c>
      <c r="O1" t="s">
        <v>1</v>
      </c>
    </row>
    <row r="2" spans="1:18" x14ac:dyDescent="0.3">
      <c r="B2" t="s">
        <v>2</v>
      </c>
      <c r="E2" t="s">
        <v>3</v>
      </c>
      <c r="G2" t="s">
        <v>4</v>
      </c>
      <c r="I2" t="s">
        <v>5</v>
      </c>
      <c r="K2" t="s">
        <v>6</v>
      </c>
      <c r="M2" t="s">
        <v>7</v>
      </c>
      <c r="O2" t="s">
        <v>8</v>
      </c>
      <c r="P2" t="s">
        <v>9</v>
      </c>
      <c r="Q2" t="s">
        <v>10</v>
      </c>
    </row>
    <row r="3" spans="1:18" x14ac:dyDescent="0.3">
      <c r="A3" t="s">
        <v>2</v>
      </c>
      <c r="B3" t="s">
        <v>11</v>
      </c>
      <c r="C3" s="1">
        <v>1</v>
      </c>
      <c r="E3" s="1">
        <f>C3*1.8</f>
        <v>1.8</v>
      </c>
      <c r="G3" s="1">
        <f>E3</f>
        <v>1.8</v>
      </c>
      <c r="I3" s="1">
        <f>MAX(0,G3)</f>
        <v>1.8</v>
      </c>
      <c r="K3" s="52">
        <f>I3*1.1</f>
        <v>1.9800000000000002</v>
      </c>
      <c r="M3" s="52"/>
      <c r="O3" s="52"/>
      <c r="P3">
        <v>1</v>
      </c>
      <c r="Q3">
        <v>1</v>
      </c>
      <c r="R3">
        <v>1</v>
      </c>
    </row>
    <row r="4" spans="1:18" x14ac:dyDescent="0.3">
      <c r="P4">
        <v>2</v>
      </c>
      <c r="Q4">
        <v>0.5</v>
      </c>
      <c r="R4">
        <v>0.5</v>
      </c>
    </row>
    <row r="5" spans="1:18" x14ac:dyDescent="0.3">
      <c r="P5">
        <v>3</v>
      </c>
      <c r="Q5">
        <v>0.5</v>
      </c>
      <c r="R5">
        <v>0</v>
      </c>
    </row>
    <row r="6" spans="1:18" x14ac:dyDescent="0.3">
      <c r="Q6" s="52">
        <v>1</v>
      </c>
    </row>
    <row r="7" spans="1:18" x14ac:dyDescent="0.3">
      <c r="G7" s="1">
        <f>I3*(-0.5)</f>
        <v>-0.9</v>
      </c>
      <c r="H7" t="s">
        <v>12</v>
      </c>
    </row>
    <row r="11" spans="1:18" x14ac:dyDescent="0.3">
      <c r="I11" t="s">
        <v>13</v>
      </c>
    </row>
    <row r="12" spans="1:18" x14ac:dyDescent="0.3">
      <c r="E12" t="s">
        <v>3</v>
      </c>
      <c r="G12" t="s">
        <v>4</v>
      </c>
      <c r="I12" t="s">
        <v>5</v>
      </c>
      <c r="K12" t="s">
        <v>6</v>
      </c>
      <c r="M12" t="s">
        <v>7</v>
      </c>
      <c r="O12" t="s">
        <v>8</v>
      </c>
    </row>
    <row r="13" spans="1:18" x14ac:dyDescent="0.3">
      <c r="A13" t="s">
        <v>2</v>
      </c>
      <c r="B13" t="s">
        <v>14</v>
      </c>
      <c r="C13" s="1">
        <v>0.5</v>
      </c>
      <c r="E13" s="1">
        <f>C13*1.8</f>
        <v>0.9</v>
      </c>
      <c r="G13" s="1">
        <f>E13+G7</f>
        <v>0</v>
      </c>
      <c r="I13" s="1">
        <f>MAX(0,G13)</f>
        <v>0</v>
      </c>
      <c r="K13" s="1">
        <f>I13*1.1</f>
        <v>0</v>
      </c>
      <c r="M13" s="52"/>
      <c r="O13" s="52"/>
    </row>
    <row r="17" spans="1:15" x14ac:dyDescent="0.3">
      <c r="G17" s="1">
        <f>I13*(-0.5)</f>
        <v>0</v>
      </c>
      <c r="H17" t="s">
        <v>12</v>
      </c>
    </row>
    <row r="23" spans="1:15" x14ac:dyDescent="0.3">
      <c r="E23" t="s">
        <v>3</v>
      </c>
      <c r="G23" t="s">
        <v>4</v>
      </c>
      <c r="I23" t="s">
        <v>5</v>
      </c>
      <c r="K23" t="s">
        <v>6</v>
      </c>
      <c r="M23" t="s">
        <v>7</v>
      </c>
      <c r="O23" t="s">
        <v>8</v>
      </c>
    </row>
    <row r="24" spans="1:15" x14ac:dyDescent="0.3">
      <c r="A24" t="s">
        <v>2</v>
      </c>
      <c r="B24" t="s">
        <v>15</v>
      </c>
      <c r="C24" s="1">
        <v>0</v>
      </c>
      <c r="E24" s="1">
        <f>C24*1.8</f>
        <v>0</v>
      </c>
      <c r="G24" s="1">
        <f>E24+G17</f>
        <v>0</v>
      </c>
      <c r="I24" s="1">
        <f>MAX(0,G24)</f>
        <v>0</v>
      </c>
      <c r="K24" s="1">
        <f>I24*1.1</f>
        <v>0</v>
      </c>
      <c r="M24" s="1">
        <f>K24</f>
        <v>0</v>
      </c>
      <c r="O24" s="1">
        <f>M24</f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4C66E-CEDE-43AF-A06E-80C5262D9515}">
  <dimension ref="A1:W23"/>
  <sheetViews>
    <sheetView showGridLines="0" topLeftCell="J8" zoomScale="124" zoomScaleNormal="124" workbookViewId="0">
      <selection activeCell="W19" sqref="W19"/>
    </sheetView>
  </sheetViews>
  <sheetFormatPr defaultRowHeight="14" x14ac:dyDescent="0.3"/>
  <cols>
    <col min="1" max="1" width="11.26953125" customWidth="1"/>
    <col min="3" max="3" width="6.81640625" customWidth="1"/>
    <col min="4" max="4" width="16.26953125" customWidth="1"/>
    <col min="7" max="7" width="14.54296875" customWidth="1"/>
    <col min="8" max="8" width="12.81640625" customWidth="1"/>
    <col min="9" max="9" width="12.7265625" customWidth="1"/>
    <col min="19" max="19" width="5.453125" customWidth="1"/>
    <col min="20" max="20" width="12" customWidth="1"/>
  </cols>
  <sheetData>
    <row r="1" spans="1:23" ht="31" customHeight="1" x14ac:dyDescent="0.3">
      <c r="A1" s="63" t="s">
        <v>16</v>
      </c>
      <c r="B1" s="63"/>
      <c r="C1" s="63"/>
      <c r="D1" s="16" t="s">
        <v>17</v>
      </c>
      <c r="H1" s="58" t="s">
        <v>18</v>
      </c>
      <c r="I1" s="70" t="s">
        <v>63</v>
      </c>
      <c r="J1" s="70"/>
      <c r="K1" s="69" t="s">
        <v>19</v>
      </c>
      <c r="L1" s="69"/>
      <c r="M1" s="69"/>
      <c r="T1" s="51" t="s">
        <v>20</v>
      </c>
      <c r="W1" s="56">
        <f>K3</f>
        <v>0.55112802853814691</v>
      </c>
    </row>
    <row r="2" spans="1:23" x14ac:dyDescent="0.3">
      <c r="E2" t="s">
        <v>21</v>
      </c>
      <c r="K2" t="s">
        <v>22</v>
      </c>
      <c r="W2" t="s">
        <v>23</v>
      </c>
    </row>
    <row r="3" spans="1:23" x14ac:dyDescent="0.3">
      <c r="A3" t="s">
        <v>24</v>
      </c>
      <c r="B3" s="5">
        <v>0</v>
      </c>
      <c r="E3" s="7">
        <f>B3*E8</f>
        <v>0</v>
      </c>
      <c r="K3" s="48">
        <f>E3+K5</f>
        <v>0.55112802853814691</v>
      </c>
      <c r="W3" t="s">
        <v>25</v>
      </c>
    </row>
    <row r="4" spans="1:23" x14ac:dyDescent="0.3">
      <c r="B4" s="2"/>
      <c r="E4" s="37"/>
      <c r="T4" s="59" t="s">
        <v>26</v>
      </c>
    </row>
    <row r="5" spans="1:23" x14ac:dyDescent="0.3">
      <c r="H5" t="s">
        <v>27</v>
      </c>
      <c r="I5" s="47">
        <f>I8+1</f>
        <v>2</v>
      </c>
      <c r="J5" t="s">
        <v>28</v>
      </c>
      <c r="K5" s="1">
        <f>I8*N8</f>
        <v>0.55112802853814691</v>
      </c>
      <c r="P5" t="s">
        <v>29</v>
      </c>
      <c r="T5" s="59"/>
    </row>
    <row r="6" spans="1:23" ht="14.5" thickBot="1" x14ac:dyDescent="0.35">
      <c r="C6" s="53" t="s">
        <v>30</v>
      </c>
      <c r="G6" s="54" t="s">
        <v>31</v>
      </c>
      <c r="N6" s="55" t="s">
        <v>32</v>
      </c>
      <c r="R6" t="s">
        <v>33</v>
      </c>
      <c r="T6" s="59"/>
      <c r="U6" s="6">
        <f>(EXP(K3)-EXP(-K3))/(EXP(K3)+EXP(-K3))</f>
        <v>0.50136516805356279</v>
      </c>
    </row>
    <row r="7" spans="1:23" x14ac:dyDescent="0.3">
      <c r="C7" s="8"/>
      <c r="D7" s="61" t="s">
        <v>34</v>
      </c>
      <c r="E7" s="9"/>
      <c r="G7" s="18"/>
      <c r="H7" s="64" t="s">
        <v>34</v>
      </c>
      <c r="I7" s="19"/>
      <c r="L7" s="27"/>
      <c r="M7" s="66" t="s">
        <v>26</v>
      </c>
      <c r="N7" s="28"/>
      <c r="P7" s="38"/>
      <c r="Q7" s="67" t="s">
        <v>34</v>
      </c>
      <c r="R7" s="49"/>
      <c r="T7" s="50"/>
      <c r="U7" s="50"/>
    </row>
    <row r="8" spans="1:23" ht="14.15" customHeight="1" x14ac:dyDescent="0.3">
      <c r="C8" s="10"/>
      <c r="D8" s="62"/>
      <c r="E8" s="6">
        <f>(EXP(E11)/(EXP(E11)+1))</f>
        <v>0.96267311265587052</v>
      </c>
      <c r="G8" s="20"/>
      <c r="H8" s="65"/>
      <c r="I8" s="6">
        <f>ROUND(EXP(I11)/((EXP(I11)+1)),0)</f>
        <v>1</v>
      </c>
      <c r="J8" s="46" t="s">
        <v>35</v>
      </c>
      <c r="L8" s="29"/>
      <c r="M8" s="59"/>
      <c r="N8" s="6">
        <f>(EXP(N11)-EXP(-N11))/(EXP(N11)+EXP(-N11))</f>
        <v>0.55112802853814691</v>
      </c>
      <c r="P8" s="39"/>
      <c r="Q8" s="68"/>
      <c r="R8" s="6">
        <f>(EXP(R11)/(EXP(R11)+1))</f>
        <v>0.598687660112452</v>
      </c>
      <c r="T8" s="50"/>
      <c r="U8" s="50"/>
    </row>
    <row r="9" spans="1:23" x14ac:dyDescent="0.3">
      <c r="C9" s="10"/>
      <c r="D9" s="62"/>
      <c r="E9" s="11"/>
      <c r="G9" s="20"/>
      <c r="H9" s="65"/>
      <c r="I9" s="21"/>
      <c r="L9" s="29"/>
      <c r="M9" s="59"/>
      <c r="N9" s="30"/>
      <c r="P9" s="39"/>
      <c r="Q9" s="68"/>
      <c r="R9" s="40"/>
      <c r="T9" s="50"/>
      <c r="U9" s="50"/>
    </row>
    <row r="10" spans="1:23" x14ac:dyDescent="0.3">
      <c r="C10" s="10"/>
      <c r="D10" s="12"/>
      <c r="E10" s="11"/>
      <c r="G10" s="20"/>
      <c r="H10" s="22"/>
      <c r="I10" s="21"/>
      <c r="L10" s="29"/>
      <c r="M10" s="31"/>
      <c r="N10" s="30"/>
      <c r="P10" s="39"/>
      <c r="Q10" s="41"/>
      <c r="R10" s="40"/>
      <c r="T10" s="50" t="s">
        <v>28</v>
      </c>
      <c r="U10" s="1">
        <f>R8*U6</f>
        <v>0.30016113932387378</v>
      </c>
    </row>
    <row r="11" spans="1:23" x14ac:dyDescent="0.3">
      <c r="C11" s="10"/>
      <c r="D11" s="17" t="s">
        <v>36</v>
      </c>
      <c r="E11" s="3">
        <f>E14+1.62</f>
        <v>3.25</v>
      </c>
      <c r="G11" s="20"/>
      <c r="H11" s="23" t="s">
        <v>37</v>
      </c>
      <c r="I11" s="3">
        <f>I14+0.62</f>
        <v>2.27</v>
      </c>
      <c r="L11" s="29"/>
      <c r="M11" s="32" t="s">
        <v>38</v>
      </c>
      <c r="N11" s="3">
        <f>N14-0.32</f>
        <v>0.61999999999999988</v>
      </c>
      <c r="P11" s="39"/>
      <c r="Q11" s="42" t="s">
        <v>39</v>
      </c>
      <c r="R11" s="3">
        <f>R14+0.59</f>
        <v>0.39999999999999997</v>
      </c>
      <c r="T11" s="50"/>
      <c r="U11" s="50"/>
    </row>
    <row r="12" spans="1:23" x14ac:dyDescent="0.3">
      <c r="C12" s="10"/>
      <c r="D12" s="12"/>
      <c r="E12" s="11"/>
      <c r="G12" s="20"/>
      <c r="H12" s="22"/>
      <c r="I12" s="21"/>
      <c r="L12" s="29"/>
      <c r="M12" s="31"/>
      <c r="N12" s="30"/>
      <c r="P12" s="39"/>
      <c r="Q12" s="41"/>
      <c r="R12" s="40"/>
      <c r="T12" s="50"/>
      <c r="U12" s="50"/>
    </row>
    <row r="13" spans="1:23" x14ac:dyDescent="0.3">
      <c r="C13" s="10"/>
      <c r="D13" s="17" t="s">
        <v>22</v>
      </c>
      <c r="E13" s="11"/>
      <c r="G13" s="20"/>
      <c r="H13" s="23" t="s">
        <v>22</v>
      </c>
      <c r="I13" s="21"/>
      <c r="L13" s="29"/>
      <c r="M13" s="32" t="s">
        <v>22</v>
      </c>
      <c r="N13" s="30"/>
      <c r="P13" s="39"/>
      <c r="Q13" s="42" t="s">
        <v>22</v>
      </c>
      <c r="R13" s="40"/>
      <c r="T13" s="50"/>
      <c r="U13" s="50"/>
    </row>
    <row r="14" spans="1:23" x14ac:dyDescent="0.3">
      <c r="C14" s="10"/>
      <c r="D14" s="12"/>
      <c r="E14" s="3">
        <f>D15+E18</f>
        <v>1.63</v>
      </c>
      <c r="G14" s="20"/>
      <c r="H14" s="22"/>
      <c r="I14" s="3">
        <f>H15+I18</f>
        <v>1.65</v>
      </c>
      <c r="L14" s="29"/>
      <c r="M14" s="31"/>
      <c r="N14" s="3">
        <f>M15+N18</f>
        <v>0.94</v>
      </c>
      <c r="P14" s="39"/>
      <c r="Q14" s="41"/>
      <c r="R14" s="3">
        <f>Q15+R18</f>
        <v>-0.19</v>
      </c>
      <c r="T14" s="50"/>
      <c r="U14" s="50"/>
    </row>
    <row r="15" spans="1:23" x14ac:dyDescent="0.3">
      <c r="B15" s="2" t="s">
        <v>40</v>
      </c>
      <c r="C15" s="10"/>
      <c r="D15" s="5">
        <f>$B$17*2.7</f>
        <v>0</v>
      </c>
      <c r="E15" s="11"/>
      <c r="G15" s="36" t="s">
        <v>41</v>
      </c>
      <c r="H15" s="5">
        <f>$B$17*2</f>
        <v>0</v>
      </c>
      <c r="I15" s="21"/>
      <c r="L15" s="29" t="s">
        <v>42</v>
      </c>
      <c r="M15" s="5">
        <f>$B$17*1.41</f>
        <v>0</v>
      </c>
      <c r="N15" s="30"/>
      <c r="P15" s="39" t="s">
        <v>43</v>
      </c>
      <c r="Q15" s="5">
        <f>B17*4.38</f>
        <v>0</v>
      </c>
      <c r="R15" s="40"/>
      <c r="T15" s="50"/>
      <c r="U15" s="50"/>
    </row>
    <row r="16" spans="1:23" x14ac:dyDescent="0.3">
      <c r="A16" t="s">
        <v>44</v>
      </c>
      <c r="C16" s="10"/>
      <c r="D16" s="12"/>
      <c r="E16" s="11"/>
      <c r="G16" s="20"/>
      <c r="H16" s="22"/>
      <c r="I16" s="21"/>
      <c r="L16" s="29"/>
      <c r="M16" s="31"/>
      <c r="N16" s="30"/>
      <c r="P16" s="39"/>
      <c r="Q16" s="41"/>
      <c r="R16" s="40"/>
      <c r="T16" s="60" t="s">
        <v>62</v>
      </c>
      <c r="U16" s="1">
        <f>U10</f>
        <v>0.30016113932387378</v>
      </c>
      <c r="W16" t="s">
        <v>45</v>
      </c>
    </row>
    <row r="17" spans="1:23" x14ac:dyDescent="0.3">
      <c r="A17" t="s">
        <v>46</v>
      </c>
      <c r="B17" s="5">
        <v>0</v>
      </c>
      <c r="C17" s="10"/>
      <c r="D17" s="12"/>
      <c r="E17" s="11"/>
      <c r="G17" s="20"/>
      <c r="H17" s="22"/>
      <c r="I17" s="21"/>
      <c r="L17" s="29"/>
      <c r="M17" s="31"/>
      <c r="N17" s="30"/>
      <c r="P17" s="39"/>
      <c r="Q17" s="41"/>
      <c r="R17" s="40"/>
      <c r="T17" s="60"/>
      <c r="U17" s="50"/>
    </row>
    <row r="18" spans="1:23" x14ac:dyDescent="0.3">
      <c r="A18" t="s">
        <v>47</v>
      </c>
      <c r="C18" s="10" t="s">
        <v>48</v>
      </c>
      <c r="D18" s="12"/>
      <c r="E18" s="3">
        <f>E22*1.63</f>
        <v>1.63</v>
      </c>
      <c r="G18" s="20" t="s">
        <v>49</v>
      </c>
      <c r="H18" s="22"/>
      <c r="I18" s="3">
        <f>$E$22*1.65</f>
        <v>1.65</v>
      </c>
      <c r="L18" s="29" t="s">
        <v>50</v>
      </c>
      <c r="M18" s="31"/>
      <c r="N18" s="3">
        <f>E22*0.94</f>
        <v>0.94</v>
      </c>
      <c r="P18" s="39" t="s">
        <v>51</v>
      </c>
      <c r="Q18" s="41"/>
      <c r="R18" s="3">
        <f>E22*-0.19</f>
        <v>-0.19</v>
      </c>
      <c r="T18" s="60"/>
      <c r="U18" s="50"/>
      <c r="W18" t="s">
        <v>52</v>
      </c>
    </row>
    <row r="19" spans="1:23" ht="14.5" thickBot="1" x14ac:dyDescent="0.35">
      <c r="C19" s="13"/>
      <c r="D19" s="14"/>
      <c r="E19" s="15"/>
      <c r="G19" s="24"/>
      <c r="H19" s="25"/>
      <c r="I19" s="26"/>
      <c r="L19" s="33"/>
      <c r="M19" s="34"/>
      <c r="N19" s="35"/>
      <c r="P19" s="43"/>
      <c r="Q19" s="44"/>
      <c r="R19" s="45"/>
      <c r="W19" s="57">
        <f>U16</f>
        <v>0.30016113932387378</v>
      </c>
    </row>
    <row r="22" spans="1:23" x14ac:dyDescent="0.3">
      <c r="D22" s="4" t="s">
        <v>53</v>
      </c>
      <c r="E22" s="5">
        <v>1</v>
      </c>
      <c r="F22" t="s">
        <v>54</v>
      </c>
      <c r="G22" t="s">
        <v>55</v>
      </c>
    </row>
    <row r="23" spans="1:23" x14ac:dyDescent="0.3">
      <c r="G23" t="s">
        <v>56</v>
      </c>
    </row>
  </sheetData>
  <mergeCells count="9">
    <mergeCell ref="T4:T6"/>
    <mergeCell ref="T16:T18"/>
    <mergeCell ref="D7:D9"/>
    <mergeCell ref="A1:C1"/>
    <mergeCell ref="H7:H9"/>
    <mergeCell ref="M7:M9"/>
    <mergeCell ref="Q7:Q9"/>
    <mergeCell ref="K1:M1"/>
    <mergeCell ref="I1:J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B249C-6970-4CD9-A8DC-61B7102576AF}">
  <dimension ref="A1:W23"/>
  <sheetViews>
    <sheetView showGridLines="0" topLeftCell="A8" zoomScale="124" zoomScaleNormal="124" workbookViewId="0">
      <selection activeCell="W19" sqref="W19"/>
    </sheetView>
  </sheetViews>
  <sheetFormatPr defaultRowHeight="14" x14ac:dyDescent="0.3"/>
  <cols>
    <col min="1" max="1" width="11.26953125" customWidth="1"/>
    <col min="3" max="3" width="6.81640625" customWidth="1"/>
    <col min="4" max="4" width="16.26953125" customWidth="1"/>
    <col min="7" max="7" width="14.54296875" customWidth="1"/>
    <col min="8" max="8" width="12.81640625" customWidth="1"/>
    <col min="9" max="9" width="12.7265625" customWidth="1"/>
    <col min="19" max="19" width="5.453125" customWidth="1"/>
    <col min="20" max="20" width="12" customWidth="1"/>
  </cols>
  <sheetData>
    <row r="1" spans="1:23" ht="31" customHeight="1" x14ac:dyDescent="0.3">
      <c r="A1" s="63" t="s">
        <v>16</v>
      </c>
      <c r="B1" s="63"/>
      <c r="C1" s="63"/>
      <c r="D1" s="16" t="s">
        <v>17</v>
      </c>
      <c r="H1" s="58" t="s">
        <v>18</v>
      </c>
      <c r="I1" s="70" t="s">
        <v>63</v>
      </c>
      <c r="J1" s="70"/>
      <c r="K1" s="69" t="s">
        <v>19</v>
      </c>
      <c r="L1" s="69"/>
      <c r="M1" s="69"/>
      <c r="T1" s="51" t="s">
        <v>20</v>
      </c>
      <c r="W1" s="56">
        <f>K3</f>
        <v>1.0481909501892539</v>
      </c>
    </row>
    <row r="2" spans="1:23" x14ac:dyDescent="0.3">
      <c r="E2" t="s">
        <v>21</v>
      </c>
      <c r="K2" t="s">
        <v>22</v>
      </c>
      <c r="W2" t="s">
        <v>23</v>
      </c>
    </row>
    <row r="3" spans="1:23" x14ac:dyDescent="0.3">
      <c r="A3" t="s">
        <v>24</v>
      </c>
      <c r="B3" s="56">
        <v>0.55112802853814691</v>
      </c>
      <c r="E3" s="7">
        <f>B3*E8</f>
        <v>0.5304655397264787</v>
      </c>
      <c r="K3" s="48">
        <f>E3+K5</f>
        <v>1.0481909501892539</v>
      </c>
      <c r="W3" t="s">
        <v>25</v>
      </c>
    </row>
    <row r="4" spans="1:23" x14ac:dyDescent="0.3">
      <c r="B4" s="2"/>
      <c r="E4" s="37"/>
      <c r="T4" s="59" t="s">
        <v>26</v>
      </c>
    </row>
    <row r="5" spans="1:23" x14ac:dyDescent="0.3">
      <c r="H5" t="s">
        <v>27</v>
      </c>
      <c r="I5" s="47">
        <f>I8+1</f>
        <v>2</v>
      </c>
      <c r="J5" t="s">
        <v>28</v>
      </c>
      <c r="K5" s="1">
        <f>I8*N8</f>
        <v>0.5177254104627752</v>
      </c>
      <c r="P5" t="s">
        <v>29</v>
      </c>
      <c r="T5" s="59"/>
    </row>
    <row r="6" spans="1:23" ht="14.5" thickBot="1" x14ac:dyDescent="0.35">
      <c r="C6" s="53" t="s">
        <v>30</v>
      </c>
      <c r="G6" s="54" t="s">
        <v>31</v>
      </c>
      <c r="N6" s="55" t="s">
        <v>32</v>
      </c>
      <c r="R6" t="s">
        <v>33</v>
      </c>
      <c r="T6" s="59"/>
      <c r="U6" s="6">
        <f>(EXP(K3)-EXP(-K3))/(EXP(K3)+EXP(-K3))</f>
        <v>0.78110204199546518</v>
      </c>
    </row>
    <row r="7" spans="1:23" x14ac:dyDescent="0.3">
      <c r="C7" s="8"/>
      <c r="D7" s="61" t="s">
        <v>34</v>
      </c>
      <c r="E7" s="9"/>
      <c r="G7" s="18"/>
      <c r="H7" s="64" t="s">
        <v>34</v>
      </c>
      <c r="I7" s="19"/>
      <c r="L7" s="27"/>
      <c r="M7" s="66" t="s">
        <v>26</v>
      </c>
      <c r="N7" s="28"/>
      <c r="P7" s="38"/>
      <c r="Q7" s="67" t="s">
        <v>34</v>
      </c>
      <c r="R7" s="49"/>
      <c r="T7" s="50"/>
      <c r="U7" s="50"/>
    </row>
    <row r="8" spans="1:23" ht="14.15" customHeight="1" x14ac:dyDescent="0.3">
      <c r="C8" s="10"/>
      <c r="D8" s="62"/>
      <c r="E8" s="6">
        <f>(EXP(E11)/(EXP(E11)+1))</f>
        <v>0.96250873165265249</v>
      </c>
      <c r="G8" s="20"/>
      <c r="H8" s="65"/>
      <c r="I8" s="6">
        <f>ROUND(EXP(I11)/((EXP(I11)+1)),0)</f>
        <v>1</v>
      </c>
      <c r="J8" s="46" t="s">
        <v>35</v>
      </c>
      <c r="L8" s="29"/>
      <c r="M8" s="59"/>
      <c r="N8" s="6">
        <f>(EXP(N11)-EXP(-N11))/(EXP(N11)+EXP(-N11))</f>
        <v>0.5177254104627752</v>
      </c>
      <c r="P8" s="39"/>
      <c r="Q8" s="68"/>
      <c r="R8" s="6">
        <f>(EXP(R11)/(EXP(R11)+1))</f>
        <v>0.85932631259596282</v>
      </c>
      <c r="T8" s="50"/>
      <c r="U8" s="50"/>
    </row>
    <row r="9" spans="1:23" x14ac:dyDescent="0.3">
      <c r="C9" s="10"/>
      <c r="D9" s="62"/>
      <c r="E9" s="11"/>
      <c r="G9" s="20"/>
      <c r="H9" s="65"/>
      <c r="I9" s="21"/>
      <c r="L9" s="29"/>
      <c r="M9" s="59"/>
      <c r="N9" s="30"/>
      <c r="P9" s="39"/>
      <c r="Q9" s="68"/>
      <c r="R9" s="40"/>
      <c r="T9" s="50"/>
      <c r="U9" s="50"/>
    </row>
    <row r="10" spans="1:23" x14ac:dyDescent="0.3">
      <c r="C10" s="10"/>
      <c r="D10" s="12"/>
      <c r="E10" s="11"/>
      <c r="G10" s="20"/>
      <c r="H10" s="22"/>
      <c r="I10" s="21"/>
      <c r="L10" s="29"/>
      <c r="M10" s="31"/>
      <c r="N10" s="30"/>
      <c r="P10" s="39"/>
      <c r="Q10" s="41"/>
      <c r="R10" s="40"/>
      <c r="T10" s="50" t="s">
        <v>28</v>
      </c>
      <c r="U10" s="1">
        <f>R8*U6</f>
        <v>0.67122153750913993</v>
      </c>
    </row>
    <row r="11" spans="1:23" x14ac:dyDescent="0.3">
      <c r="C11" s="10"/>
      <c r="D11" s="17" t="s">
        <v>36</v>
      </c>
      <c r="E11" s="3">
        <f>E14+1.62</f>
        <v>3.2454350761744593</v>
      </c>
      <c r="G11" s="20"/>
      <c r="H11" s="23" t="s">
        <v>37</v>
      </c>
      <c r="I11" s="3">
        <f>I14+0.62</f>
        <v>2.0453222786477476</v>
      </c>
      <c r="L11" s="29"/>
      <c r="M11" s="32" t="s">
        <v>38</v>
      </c>
      <c r="N11" s="3">
        <f>N14-0.32</f>
        <v>0.57322720644666192</v>
      </c>
      <c r="P11" s="39"/>
      <c r="Q11" s="42" t="s">
        <v>39</v>
      </c>
      <c r="R11" s="3">
        <f>R14+0.59</f>
        <v>1.8097057902385671</v>
      </c>
      <c r="T11" s="50"/>
      <c r="U11" s="50"/>
    </row>
    <row r="12" spans="1:23" x14ac:dyDescent="0.3">
      <c r="C12" s="10"/>
      <c r="D12" s="12"/>
      <c r="E12" s="11"/>
      <c r="G12" s="20"/>
      <c r="H12" s="22"/>
      <c r="I12" s="21"/>
      <c r="L12" s="29"/>
      <c r="M12" s="31"/>
      <c r="N12" s="30"/>
      <c r="P12" s="39"/>
      <c r="Q12" s="41"/>
      <c r="R12" s="40"/>
      <c r="T12" s="50"/>
      <c r="U12" s="50"/>
    </row>
    <row r="13" spans="1:23" x14ac:dyDescent="0.3">
      <c r="C13" s="10"/>
      <c r="D13" s="17" t="s">
        <v>22</v>
      </c>
      <c r="E13" s="11"/>
      <c r="G13" s="20"/>
      <c r="H13" s="23" t="s">
        <v>22</v>
      </c>
      <c r="I13" s="21"/>
      <c r="L13" s="29"/>
      <c r="M13" s="32" t="s">
        <v>22</v>
      </c>
      <c r="N13" s="30"/>
      <c r="P13" s="39"/>
      <c r="Q13" s="42" t="s">
        <v>22</v>
      </c>
      <c r="R13" s="40"/>
      <c r="T13" s="50"/>
      <c r="U13" s="50"/>
    </row>
    <row r="14" spans="1:23" x14ac:dyDescent="0.3">
      <c r="C14" s="10"/>
      <c r="D14" s="12"/>
      <c r="E14" s="3">
        <f>D15+E18</f>
        <v>1.6254350761744591</v>
      </c>
      <c r="G14" s="20"/>
      <c r="H14" s="22"/>
      <c r="I14" s="3">
        <f>H15+I18</f>
        <v>1.4253222786477475</v>
      </c>
      <c r="L14" s="29"/>
      <c r="M14" s="31"/>
      <c r="N14" s="3">
        <f>M15+N18</f>
        <v>0.89322720644666198</v>
      </c>
      <c r="P14" s="39"/>
      <c r="Q14" s="41"/>
      <c r="R14" s="3">
        <f>Q15+R18</f>
        <v>1.2197057902385671</v>
      </c>
      <c r="T14" s="50"/>
      <c r="U14" s="50"/>
    </row>
    <row r="15" spans="1:23" x14ac:dyDescent="0.3">
      <c r="B15" s="2" t="s">
        <v>40</v>
      </c>
      <c r="C15" s="10"/>
      <c r="D15" s="5">
        <f>$B$17*2.7</f>
        <v>0.81043507617445931</v>
      </c>
      <c r="E15" s="11"/>
      <c r="G15" s="36" t="s">
        <v>41</v>
      </c>
      <c r="H15" s="5">
        <f>$B$17*2</f>
        <v>0.60032227864774756</v>
      </c>
      <c r="I15" s="21"/>
      <c r="L15" s="29" t="s">
        <v>42</v>
      </c>
      <c r="M15" s="5">
        <f>$B$17*1.41</f>
        <v>0.42322720644666201</v>
      </c>
      <c r="N15" s="30"/>
      <c r="P15" s="39" t="s">
        <v>43</v>
      </c>
      <c r="Q15" s="5">
        <f>B17*4.38</f>
        <v>1.314705790238567</v>
      </c>
      <c r="R15" s="40"/>
      <c r="T15" s="50"/>
      <c r="U15" s="50"/>
    </row>
    <row r="16" spans="1:23" x14ac:dyDescent="0.3">
      <c r="A16" t="s">
        <v>44</v>
      </c>
      <c r="C16" s="10"/>
      <c r="D16" s="12"/>
      <c r="E16" s="11"/>
      <c r="G16" s="20"/>
      <c r="H16" s="22"/>
      <c r="I16" s="21"/>
      <c r="L16" s="29"/>
      <c r="M16" s="31"/>
      <c r="N16" s="30"/>
      <c r="P16" s="39"/>
      <c r="Q16" s="41"/>
      <c r="R16" s="40"/>
      <c r="T16" s="60" t="s">
        <v>62</v>
      </c>
      <c r="U16" s="1">
        <f>U10</f>
        <v>0.67122153750913993</v>
      </c>
      <c r="W16" t="s">
        <v>45</v>
      </c>
    </row>
    <row r="17" spans="1:23" x14ac:dyDescent="0.3">
      <c r="A17" t="s">
        <v>46</v>
      </c>
      <c r="B17" s="5">
        <v>0.30016113932387378</v>
      </c>
      <c r="C17" s="10"/>
      <c r="D17" s="12"/>
      <c r="E17" s="11"/>
      <c r="G17" s="20"/>
      <c r="H17" s="22"/>
      <c r="I17" s="21"/>
      <c r="L17" s="29"/>
      <c r="M17" s="31"/>
      <c r="N17" s="30"/>
      <c r="P17" s="39"/>
      <c r="Q17" s="41"/>
      <c r="R17" s="40"/>
      <c r="T17" s="60"/>
      <c r="U17" s="50"/>
    </row>
    <row r="18" spans="1:23" x14ac:dyDescent="0.3">
      <c r="A18" t="s">
        <v>47</v>
      </c>
      <c r="C18" s="10" t="s">
        <v>48</v>
      </c>
      <c r="D18" s="12"/>
      <c r="E18" s="3">
        <f>E22*1.63</f>
        <v>0.81499999999999995</v>
      </c>
      <c r="G18" s="20" t="s">
        <v>49</v>
      </c>
      <c r="H18" s="22"/>
      <c r="I18" s="3">
        <f>$E$22*1.65</f>
        <v>0.82499999999999996</v>
      </c>
      <c r="L18" s="29" t="s">
        <v>50</v>
      </c>
      <c r="M18" s="31"/>
      <c r="N18" s="3">
        <f>E22*0.94</f>
        <v>0.47</v>
      </c>
      <c r="P18" s="39" t="s">
        <v>51</v>
      </c>
      <c r="Q18" s="41"/>
      <c r="R18" s="3">
        <f>E22*-0.19</f>
        <v>-9.5000000000000001E-2</v>
      </c>
      <c r="T18" s="60"/>
      <c r="U18" s="50"/>
      <c r="W18" t="s">
        <v>52</v>
      </c>
    </row>
    <row r="19" spans="1:23" ht="14.5" thickBot="1" x14ac:dyDescent="0.35">
      <c r="C19" s="13"/>
      <c r="D19" s="14"/>
      <c r="E19" s="15"/>
      <c r="G19" s="24"/>
      <c r="H19" s="25"/>
      <c r="I19" s="26"/>
      <c r="L19" s="33"/>
      <c r="M19" s="34"/>
      <c r="N19" s="35"/>
      <c r="P19" s="43"/>
      <c r="Q19" s="44"/>
      <c r="R19" s="45"/>
      <c r="W19" s="57">
        <f>U16</f>
        <v>0.67122153750913993</v>
      </c>
    </row>
    <row r="22" spans="1:23" x14ac:dyDescent="0.3">
      <c r="D22" s="4" t="s">
        <v>53</v>
      </c>
      <c r="E22" s="5">
        <v>0.5</v>
      </c>
      <c r="F22" t="s">
        <v>54</v>
      </c>
      <c r="G22" t="s">
        <v>55</v>
      </c>
    </row>
    <row r="23" spans="1:23" x14ac:dyDescent="0.3">
      <c r="G23" t="s">
        <v>56</v>
      </c>
    </row>
  </sheetData>
  <mergeCells count="9">
    <mergeCell ref="T16:T18"/>
    <mergeCell ref="A1:C1"/>
    <mergeCell ref="I1:J1"/>
    <mergeCell ref="K1:M1"/>
    <mergeCell ref="T4:T6"/>
    <mergeCell ref="D7:D9"/>
    <mergeCell ref="H7:H9"/>
    <mergeCell ref="M7:M9"/>
    <mergeCell ref="Q7:Q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CB3B7-83AE-4C5C-B17E-7047DF04A0CA}">
  <dimension ref="A1:W23"/>
  <sheetViews>
    <sheetView showGridLines="0" topLeftCell="J8" zoomScale="124" zoomScaleNormal="124" workbookViewId="0">
      <selection activeCell="B17" sqref="B17"/>
    </sheetView>
  </sheetViews>
  <sheetFormatPr defaultRowHeight="14" x14ac:dyDescent="0.3"/>
  <cols>
    <col min="1" max="1" width="11.26953125" customWidth="1"/>
    <col min="3" max="3" width="6.81640625" customWidth="1"/>
    <col min="4" max="4" width="16.26953125" customWidth="1"/>
    <col min="7" max="7" width="14.54296875" customWidth="1"/>
    <col min="8" max="8" width="12.81640625" customWidth="1"/>
    <col min="9" max="9" width="12.7265625" customWidth="1"/>
    <col min="19" max="19" width="5.453125" customWidth="1"/>
    <col min="20" max="20" width="12" customWidth="1"/>
  </cols>
  <sheetData>
    <row r="1" spans="1:23" ht="31" customHeight="1" x14ac:dyDescent="0.3">
      <c r="A1" s="63" t="s">
        <v>16</v>
      </c>
      <c r="B1" s="63"/>
      <c r="C1" s="63"/>
      <c r="D1" s="16" t="s">
        <v>17</v>
      </c>
      <c r="H1" s="58" t="s">
        <v>18</v>
      </c>
      <c r="I1" s="70" t="s">
        <v>63</v>
      </c>
      <c r="J1" s="70"/>
      <c r="K1" s="69" t="s">
        <v>19</v>
      </c>
      <c r="L1" s="69"/>
      <c r="M1" s="69"/>
      <c r="T1" s="51" t="s">
        <v>20</v>
      </c>
      <c r="W1" s="56">
        <f>K3</f>
        <v>1.7231210290799188</v>
      </c>
    </row>
    <row r="2" spans="1:23" x14ac:dyDescent="0.3">
      <c r="E2" t="s">
        <v>21</v>
      </c>
      <c r="K2" t="s">
        <v>22</v>
      </c>
      <c r="W2" t="s">
        <v>23</v>
      </c>
    </row>
    <row r="3" spans="1:23" x14ac:dyDescent="0.3">
      <c r="A3" t="s">
        <v>24</v>
      </c>
      <c r="B3" s="56">
        <v>1.0481909501892539</v>
      </c>
      <c r="E3" s="7">
        <f>B3*E8</f>
        <v>1.0261312420698556</v>
      </c>
      <c r="K3" s="48">
        <f>E3+K5</f>
        <v>1.7231210290799188</v>
      </c>
      <c r="W3" t="s">
        <v>25</v>
      </c>
    </row>
    <row r="4" spans="1:23" x14ac:dyDescent="0.3">
      <c r="B4" s="2"/>
      <c r="E4" s="37"/>
      <c r="T4" s="59" t="s">
        <v>26</v>
      </c>
    </row>
    <row r="5" spans="1:23" x14ac:dyDescent="0.3">
      <c r="H5" t="s">
        <v>27</v>
      </c>
      <c r="I5" s="47">
        <f>I8+1</f>
        <v>2</v>
      </c>
      <c r="J5" t="s">
        <v>28</v>
      </c>
      <c r="K5" s="1">
        <f>I8*N8</f>
        <v>0.69698978701006331</v>
      </c>
      <c r="P5" t="s">
        <v>29</v>
      </c>
      <c r="T5" s="59"/>
    </row>
    <row r="6" spans="1:23" ht="14.5" thickBot="1" x14ac:dyDescent="0.35">
      <c r="C6" s="53" t="s">
        <v>30</v>
      </c>
      <c r="G6" s="54" t="s">
        <v>31</v>
      </c>
      <c r="N6" s="55" t="s">
        <v>32</v>
      </c>
      <c r="R6" t="s">
        <v>33</v>
      </c>
      <c r="T6" s="59"/>
      <c r="U6" s="6">
        <f>(EXP(K3)-EXP(-K3))/(EXP(K3)+EXP(-K3))</f>
        <v>0.93823774590681519</v>
      </c>
    </row>
    <row r="7" spans="1:23" x14ac:dyDescent="0.3">
      <c r="C7" s="8"/>
      <c r="D7" s="61" t="s">
        <v>34</v>
      </c>
      <c r="E7" s="9"/>
      <c r="G7" s="18"/>
      <c r="H7" s="64" t="s">
        <v>34</v>
      </c>
      <c r="I7" s="19"/>
      <c r="L7" s="27"/>
      <c r="M7" s="66" t="s">
        <v>26</v>
      </c>
      <c r="N7" s="28"/>
      <c r="P7" s="38"/>
      <c r="Q7" s="67" t="s">
        <v>34</v>
      </c>
      <c r="R7" s="49"/>
      <c r="T7" s="50"/>
      <c r="U7" s="50"/>
    </row>
    <row r="8" spans="1:23" ht="14.15" customHeight="1" x14ac:dyDescent="0.3">
      <c r="C8" s="10"/>
      <c r="D8" s="62"/>
      <c r="E8" s="6">
        <f>(EXP(E11)/(EXP(E11)+1))</f>
        <v>0.97895449477462548</v>
      </c>
      <c r="G8" s="20"/>
      <c r="H8" s="65"/>
      <c r="I8" s="6">
        <f>ROUND(EXP(I11)/((EXP(I11)+1)),0)</f>
        <v>1</v>
      </c>
      <c r="J8" s="46" t="s">
        <v>35</v>
      </c>
      <c r="L8" s="29"/>
      <c r="M8" s="59"/>
      <c r="N8" s="6">
        <f>(EXP(N11)-EXP(-N11))/(EXP(N11)+EXP(-N11))</f>
        <v>0.69698978701006331</v>
      </c>
      <c r="P8" s="39"/>
      <c r="Q8" s="68"/>
      <c r="R8" s="6">
        <f>(EXP(R11)/(EXP(R11)+1))</f>
        <v>0.9701842821017238</v>
      </c>
      <c r="T8" s="50"/>
      <c r="U8" s="50"/>
    </row>
    <row r="9" spans="1:23" x14ac:dyDescent="0.3">
      <c r="C9" s="10"/>
      <c r="D9" s="62"/>
      <c r="E9" s="11"/>
      <c r="G9" s="20"/>
      <c r="H9" s="65"/>
      <c r="I9" s="21"/>
      <c r="L9" s="29"/>
      <c r="M9" s="59"/>
      <c r="N9" s="30"/>
      <c r="P9" s="39"/>
      <c r="Q9" s="68"/>
      <c r="R9" s="40"/>
      <c r="T9" s="50"/>
      <c r="U9" s="50"/>
    </row>
    <row r="10" spans="1:23" x14ac:dyDescent="0.3">
      <c r="C10" s="10"/>
      <c r="D10" s="12"/>
      <c r="E10" s="11"/>
      <c r="G10" s="20"/>
      <c r="H10" s="22"/>
      <c r="I10" s="21"/>
      <c r="L10" s="29"/>
      <c r="M10" s="31"/>
      <c r="N10" s="30"/>
      <c r="P10" s="39"/>
      <c r="Q10" s="41"/>
      <c r="R10" s="40"/>
      <c r="T10" s="50" t="s">
        <v>28</v>
      </c>
      <c r="U10" s="1">
        <f>R8*U6</f>
        <v>0.91026351395334304</v>
      </c>
    </row>
    <row r="11" spans="1:23" x14ac:dyDescent="0.3">
      <c r="C11" s="10"/>
      <c r="D11" s="17" t="s">
        <v>36</v>
      </c>
      <c r="E11" s="3">
        <f>E14+1.62</f>
        <v>3.8397981512746782</v>
      </c>
      <c r="G11" s="20"/>
      <c r="H11" s="23" t="s">
        <v>37</v>
      </c>
      <c r="I11" s="3">
        <f>I14+0.62</f>
        <v>2.3749430750182801</v>
      </c>
      <c r="L11" s="29"/>
      <c r="M11" s="32" t="s">
        <v>38</v>
      </c>
      <c r="N11" s="3">
        <f>N14-0.32</f>
        <v>0.86142236788788717</v>
      </c>
      <c r="P11" s="39"/>
      <c r="Q11" s="42" t="s">
        <v>39</v>
      </c>
      <c r="R11" s="3">
        <f>R14+0.59</f>
        <v>3.4824503342900326</v>
      </c>
      <c r="T11" s="50"/>
      <c r="U11" s="50"/>
    </row>
    <row r="12" spans="1:23" x14ac:dyDescent="0.3">
      <c r="C12" s="10"/>
      <c r="D12" s="12"/>
      <c r="E12" s="11"/>
      <c r="G12" s="20"/>
      <c r="H12" s="22"/>
      <c r="I12" s="21"/>
      <c r="L12" s="29"/>
      <c r="M12" s="31"/>
      <c r="N12" s="30"/>
      <c r="P12" s="39"/>
      <c r="Q12" s="41"/>
      <c r="R12" s="40"/>
      <c r="T12" s="50"/>
      <c r="U12" s="50"/>
    </row>
    <row r="13" spans="1:23" x14ac:dyDescent="0.3">
      <c r="C13" s="10"/>
      <c r="D13" s="17" t="s">
        <v>22</v>
      </c>
      <c r="E13" s="11"/>
      <c r="G13" s="20"/>
      <c r="H13" s="23" t="s">
        <v>22</v>
      </c>
      <c r="I13" s="21"/>
      <c r="L13" s="29"/>
      <c r="M13" s="32" t="s">
        <v>22</v>
      </c>
      <c r="N13" s="30"/>
      <c r="P13" s="39"/>
      <c r="Q13" s="42" t="s">
        <v>22</v>
      </c>
      <c r="R13" s="40"/>
      <c r="T13" s="50"/>
      <c r="U13" s="50"/>
    </row>
    <row r="14" spans="1:23" x14ac:dyDescent="0.3">
      <c r="C14" s="10"/>
      <c r="D14" s="12"/>
      <c r="E14" s="3">
        <f>D15+E18</f>
        <v>2.2197981512746781</v>
      </c>
      <c r="G14" s="20"/>
      <c r="H14" s="22"/>
      <c r="I14" s="3">
        <f>H15+I18</f>
        <v>1.75494307501828</v>
      </c>
      <c r="L14" s="29"/>
      <c r="M14" s="31"/>
      <c r="N14" s="3">
        <f>M15+N18</f>
        <v>1.1814223678878872</v>
      </c>
      <c r="P14" s="39"/>
      <c r="Q14" s="41"/>
      <c r="R14" s="3">
        <f>Q15+R18</f>
        <v>2.8924503342900327</v>
      </c>
      <c r="T14" s="50"/>
      <c r="U14" s="50"/>
    </row>
    <row r="15" spans="1:23" x14ac:dyDescent="0.3">
      <c r="B15" s="2" t="s">
        <v>40</v>
      </c>
      <c r="C15" s="10"/>
      <c r="D15" s="5">
        <f>$B$17*2.7</f>
        <v>1.8122981512746779</v>
      </c>
      <c r="E15" s="11"/>
      <c r="G15" s="36" t="s">
        <v>41</v>
      </c>
      <c r="H15" s="5">
        <f>$B$17*2</f>
        <v>1.3424430750182799</v>
      </c>
      <c r="I15" s="21"/>
      <c r="L15" s="29" t="s">
        <v>42</v>
      </c>
      <c r="M15" s="5">
        <f>$B$17*1.41</f>
        <v>0.94642236788788725</v>
      </c>
      <c r="N15" s="30"/>
      <c r="P15" s="39" t="s">
        <v>43</v>
      </c>
      <c r="Q15" s="5">
        <f>B17*4.38</f>
        <v>2.9399503342900326</v>
      </c>
      <c r="R15" s="40"/>
      <c r="T15" s="50"/>
      <c r="U15" s="50"/>
    </row>
    <row r="16" spans="1:23" x14ac:dyDescent="0.3">
      <c r="A16" t="s">
        <v>44</v>
      </c>
      <c r="C16" s="10"/>
      <c r="D16" s="12"/>
      <c r="E16" s="11"/>
      <c r="G16" s="20"/>
      <c r="H16" s="22"/>
      <c r="I16" s="21"/>
      <c r="L16" s="29"/>
      <c r="M16" s="31"/>
      <c r="N16" s="30"/>
      <c r="P16" s="39"/>
      <c r="Q16" s="41"/>
      <c r="R16" s="40"/>
      <c r="T16" s="60" t="s">
        <v>62</v>
      </c>
      <c r="U16" s="1">
        <f>U10</f>
        <v>0.91026351395334304</v>
      </c>
      <c r="W16" t="s">
        <v>45</v>
      </c>
    </row>
    <row r="17" spans="1:23" x14ac:dyDescent="0.3">
      <c r="A17" t="s">
        <v>46</v>
      </c>
      <c r="B17" s="5">
        <v>0.67122153750913993</v>
      </c>
      <c r="C17" s="10"/>
      <c r="D17" s="12"/>
      <c r="E17" s="11"/>
      <c r="G17" s="20"/>
      <c r="H17" s="22"/>
      <c r="I17" s="21"/>
      <c r="L17" s="29"/>
      <c r="M17" s="31"/>
      <c r="N17" s="30"/>
      <c r="P17" s="39"/>
      <c r="Q17" s="41"/>
      <c r="R17" s="40"/>
      <c r="T17" s="60"/>
      <c r="U17" s="50"/>
    </row>
    <row r="18" spans="1:23" x14ac:dyDescent="0.3">
      <c r="A18" t="s">
        <v>47</v>
      </c>
      <c r="C18" s="10" t="s">
        <v>48</v>
      </c>
      <c r="D18" s="12"/>
      <c r="E18" s="3">
        <f>E22*1.63</f>
        <v>0.40749999999999997</v>
      </c>
      <c r="G18" s="20" t="s">
        <v>49</v>
      </c>
      <c r="H18" s="22"/>
      <c r="I18" s="3">
        <f>$E$22*1.65</f>
        <v>0.41249999999999998</v>
      </c>
      <c r="L18" s="29" t="s">
        <v>50</v>
      </c>
      <c r="M18" s="31"/>
      <c r="N18" s="3">
        <f>E22*0.94</f>
        <v>0.23499999999999999</v>
      </c>
      <c r="P18" s="39" t="s">
        <v>51</v>
      </c>
      <c r="Q18" s="41"/>
      <c r="R18" s="3">
        <f>E22*-0.19</f>
        <v>-4.7500000000000001E-2</v>
      </c>
      <c r="T18" s="60"/>
      <c r="U18" s="50"/>
      <c r="W18" t="s">
        <v>52</v>
      </c>
    </row>
    <row r="19" spans="1:23" ht="14.5" thickBot="1" x14ac:dyDescent="0.35">
      <c r="C19" s="13"/>
      <c r="D19" s="14"/>
      <c r="E19" s="15"/>
      <c r="G19" s="24"/>
      <c r="H19" s="25"/>
      <c r="I19" s="26"/>
      <c r="L19" s="33"/>
      <c r="M19" s="34"/>
      <c r="N19" s="35"/>
      <c r="P19" s="43"/>
      <c r="Q19" s="44"/>
      <c r="R19" s="45"/>
      <c r="W19" s="57">
        <f>U16</f>
        <v>0.91026351395334304</v>
      </c>
    </row>
    <row r="22" spans="1:23" x14ac:dyDescent="0.3">
      <c r="D22" s="4" t="s">
        <v>53</v>
      </c>
      <c r="E22" s="5">
        <v>0.25</v>
      </c>
      <c r="F22" t="s">
        <v>54</v>
      </c>
      <c r="G22" t="s">
        <v>55</v>
      </c>
    </row>
    <row r="23" spans="1:23" x14ac:dyDescent="0.3">
      <c r="G23" t="s">
        <v>56</v>
      </c>
    </row>
  </sheetData>
  <mergeCells count="9">
    <mergeCell ref="T16:T18"/>
    <mergeCell ref="A1:C1"/>
    <mergeCell ref="I1:J1"/>
    <mergeCell ref="K1:M1"/>
    <mergeCell ref="T4:T6"/>
    <mergeCell ref="D7:D9"/>
    <mergeCell ref="H7:H9"/>
    <mergeCell ref="M7:M9"/>
    <mergeCell ref="Q7:Q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3300C-F63E-4CE4-9792-8F0C48705CAD}">
  <dimension ref="A1:F6"/>
  <sheetViews>
    <sheetView workbookViewId="0">
      <selection activeCell="B3" sqref="B3:B6"/>
    </sheetView>
  </sheetViews>
  <sheetFormatPr defaultRowHeight="14" x14ac:dyDescent="0.3"/>
  <sheetData>
    <row r="1" spans="1:6" x14ac:dyDescent="0.3">
      <c r="A1" t="s">
        <v>57</v>
      </c>
    </row>
    <row r="2" spans="1:6" x14ac:dyDescent="0.3">
      <c r="A2" s="2" t="s">
        <v>58</v>
      </c>
      <c r="B2" s="2" t="s">
        <v>59</v>
      </c>
      <c r="C2" s="2" t="s">
        <v>60</v>
      </c>
      <c r="F2" s="2" t="s">
        <v>61</v>
      </c>
    </row>
    <row r="3" spans="1:6" x14ac:dyDescent="0.3">
      <c r="A3" s="2">
        <v>1</v>
      </c>
      <c r="B3" s="2">
        <v>1</v>
      </c>
      <c r="C3" s="2">
        <v>0</v>
      </c>
    </row>
    <row r="4" spans="1:6" x14ac:dyDescent="0.3">
      <c r="A4" s="2">
        <v>2</v>
      </c>
      <c r="B4" s="2">
        <v>0.5</v>
      </c>
      <c r="C4" s="2">
        <v>0.5</v>
      </c>
    </row>
    <row r="5" spans="1:6" x14ac:dyDescent="0.3">
      <c r="A5" s="2">
        <v>3</v>
      </c>
      <c r="B5" s="2">
        <v>0.25</v>
      </c>
      <c r="C5" s="2">
        <v>0.25</v>
      </c>
    </row>
    <row r="6" spans="1:6" x14ac:dyDescent="0.3">
      <c r="A6" s="2">
        <v>4</v>
      </c>
      <c r="B6" s="2">
        <v>1</v>
      </c>
      <c r="C6" s="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3F844-1DAB-4860-B5E6-341F57A228DA}">
  <dimension ref="A1"/>
  <sheetViews>
    <sheetView workbookViewId="0">
      <selection activeCell="C21" sqref="C21"/>
    </sheetView>
  </sheetViews>
  <sheetFormatPr defaultRowHeight="1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RNN</vt:lpstr>
      <vt:lpstr>LSTM</vt:lpstr>
      <vt:lpstr>LSTM (2)</vt:lpstr>
      <vt:lpstr>LSTM (3)</vt:lpstr>
      <vt:lpstr>Zadanie</vt:lpstr>
      <vt:lpstr>Architektura LSTM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Urszula Grzybowska</dc:creator>
  <cp:keywords/>
  <dc:description/>
  <cp:lastModifiedBy>Urszula Grzybowska</cp:lastModifiedBy>
  <cp:revision/>
  <dcterms:created xsi:type="dcterms:W3CDTF">2024-04-25T06:58:55Z</dcterms:created>
  <dcterms:modified xsi:type="dcterms:W3CDTF">2025-03-30T14:10:26Z</dcterms:modified>
  <cp:category/>
  <cp:contentStatus/>
</cp:coreProperties>
</file>