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gwpl-my.sharepoint.com/personal/p489000_sggw_edu_pl/Documents/Pulpit/DeepLearning2025/Wykład3/"/>
    </mc:Choice>
  </mc:AlternateContent>
  <xr:revisionPtr revIDLastSave="1" documentId="8_{E05FB51E-A142-477A-846E-F73C55930792}" xr6:coauthVersionLast="47" xr6:coauthVersionMax="47" xr10:uidLastSave="{6DF7F83B-4DCA-42A1-8135-18CD57F81859}"/>
  <bookViews>
    <workbookView xWindow="-110" yWindow="-110" windowWidth="19420" windowHeight="11500" activeTab="3" xr2:uid="{61E60E9E-D596-485D-B7C4-3EB6D3231527}"/>
  </bookViews>
  <sheets>
    <sheet name="Dane (4 zmienne)" sheetId="4" r:id="rId1"/>
    <sheet name="Dane (2 zmienne) " sheetId="5" r:id="rId2"/>
    <sheet name="Opis danych" sheetId="3" r:id="rId3"/>
    <sheet name="Sieć (Iris_2025)" sheetId="6" r:id="rId4"/>
    <sheet name="Wagi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6" l="1"/>
  <c r="M18" i="6" s="1" a="1"/>
  <c r="M20" i="6" s="1"/>
  <c r="O20" i="6" s="1"/>
  <c r="L18" i="6"/>
  <c r="F19" i="6"/>
  <c r="F18" i="6"/>
  <c r="G18" i="6" s="1" a="1"/>
  <c r="B152" i="5"/>
  <c r="A152" i="5"/>
  <c r="E14" i="6"/>
  <c r="E12" i="6"/>
  <c r="E9" i="6"/>
  <c r="E7" i="6"/>
  <c r="G7" i="6" l="1"/>
  <c r="J8" i="6" s="1"/>
  <c r="M10" i="6" s="1"/>
  <c r="G14" i="6"/>
  <c r="J13" i="6" s="1"/>
  <c r="M14" i="6" s="1"/>
  <c r="G19" i="6"/>
  <c r="I19" i="6" s="1"/>
  <c r="G18" i="6"/>
  <c r="I18" i="6" s="1"/>
  <c r="M18" i="6"/>
  <c r="O18" i="6" s="1"/>
  <c r="M19" i="6"/>
  <c r="O19" i="6" s="1"/>
  <c r="P19" i="6" s="1"/>
  <c r="M12" i="6" l="1"/>
  <c r="M16" i="6"/>
  <c r="P13" i="6" s="1"/>
  <c r="S13" i="6" s="1"/>
  <c r="M7" i="6"/>
  <c r="M5" i="6"/>
  <c r="P9" i="6"/>
  <c r="S9" i="6" s="1"/>
  <c r="P18" i="6"/>
  <c r="P20" i="6"/>
  <c r="P6" i="6" l="1"/>
  <c r="S6" i="6" s="1"/>
  <c r="U13" i="6" s="1"/>
  <c r="U6" i="6"/>
  <c r="U9" i="6" l="1"/>
</calcChain>
</file>

<file path=xl/sharedStrings.xml><?xml version="1.0" encoding="utf-8"?>
<sst xmlns="http://schemas.openxmlformats.org/spreadsheetml/2006/main" count="373" uniqueCount="44">
  <si>
    <t>sepal length</t>
  </si>
  <si>
    <t>Feature</t>
  </si>
  <si>
    <t>Continuous</t>
  </si>
  <si>
    <t>cm</t>
  </si>
  <si>
    <t>no</t>
  </si>
  <si>
    <t>sepal width</t>
  </si>
  <si>
    <t>petal length</t>
  </si>
  <si>
    <t>petal width</t>
  </si>
  <si>
    <t>class</t>
  </si>
  <si>
    <t>Target</t>
  </si>
  <si>
    <t>Categorical</t>
  </si>
  <si>
    <t>class of iris plant: Iris Setosa, Iris Versicolour, or Iris Virginica</t>
  </si>
  <si>
    <t>Iris-setosa</t>
  </si>
  <si>
    <t>Iris-versicolor</t>
  </si>
  <si>
    <t>Iris-virginica</t>
  </si>
  <si>
    <t>Wejście</t>
  </si>
  <si>
    <t>szerokość płatka</t>
  </si>
  <si>
    <t>szerokość działki</t>
  </si>
  <si>
    <t>waga</t>
  </si>
  <si>
    <t>suma</t>
  </si>
  <si>
    <t>b</t>
  </si>
  <si>
    <t>ReLU</t>
  </si>
  <si>
    <t>Softmax</t>
  </si>
  <si>
    <t>płatek</t>
  </si>
  <si>
    <t>działka</t>
  </si>
  <si>
    <t>Klasa</t>
  </si>
  <si>
    <t>Setosa</t>
  </si>
  <si>
    <t>Versicolor</t>
  </si>
  <si>
    <t>Virginica</t>
  </si>
  <si>
    <t>długość działki</t>
  </si>
  <si>
    <t>długość płatka</t>
  </si>
  <si>
    <t>sepal</t>
  </si>
  <si>
    <t>petal</t>
  </si>
  <si>
    <t>x1</t>
  </si>
  <si>
    <t>x2</t>
  </si>
  <si>
    <t>y</t>
  </si>
  <si>
    <t>WX</t>
  </si>
  <si>
    <t>W2</t>
  </si>
  <si>
    <t>W1</t>
  </si>
  <si>
    <t>X1</t>
  </si>
  <si>
    <t>X2</t>
  </si>
  <si>
    <t>Input</t>
  </si>
  <si>
    <t>x1 szerokość płatka</t>
  </si>
  <si>
    <t>x2 szerokość działki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</si>
</sst>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Times New Roman"/>
      <family val="2"/>
      <charset val="238"/>
    </font>
    <font>
      <sz val="11"/>
      <color rgb="FF303030"/>
      <name val="Segoe UI"/>
      <family val="2"/>
      <charset val="238"/>
    </font>
    <font>
      <sz val="10"/>
      <color theme="1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0" fontId="0" fillId="9" borderId="0" xfId="0" applyFill="1"/>
    <xf numFmtId="0" fontId="0" fillId="0" borderId="2" xfId="0" applyBorder="1"/>
    <xf numFmtId="0" fontId="0" fillId="9" borderId="2" xfId="0" applyFill="1" applyBorder="1" applyAlignment="1">
      <alignment horizontal="center"/>
    </xf>
    <xf numFmtId="0" fontId="0" fillId="11" borderId="0" xfId="0" applyFill="1"/>
    <xf numFmtId="0" fontId="0" fillId="3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0" fillId="0" borderId="0" xfId="0" applyNumberFormat="1"/>
    <xf numFmtId="164" fontId="0" fillId="4" borderId="0" xfId="0" applyNumberFormat="1" applyFill="1"/>
    <xf numFmtId="0" fontId="0" fillId="12" borderId="1" xfId="0" applyFill="1" applyBorder="1" applyAlignment="1">
      <alignment horizontal="center" vertical="center"/>
    </xf>
    <xf numFmtId="164" fontId="0" fillId="8" borderId="0" xfId="0" applyNumberFormat="1" applyFill="1"/>
    <xf numFmtId="0" fontId="0" fillId="12" borderId="0" xfId="0" applyFill="1"/>
    <xf numFmtId="0" fontId="1" fillId="2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12700</xdr:rowOff>
    </xdr:from>
    <xdr:to>
      <xdr:col>9</xdr:col>
      <xdr:colOff>133350</xdr:colOff>
      <xdr:row>7</xdr:row>
      <xdr:rowOff>44450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C0A6D497-846F-4CC6-BA37-5635BB8C9BD3}"/>
            </a:ext>
          </a:extLst>
        </xdr:cNvPr>
        <xdr:cNvCxnSpPr/>
      </xdr:nvCxnSpPr>
      <xdr:spPr>
        <a:xfrm flipV="1">
          <a:off x="1231900" y="1441450"/>
          <a:ext cx="4406900" cy="317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622300</xdr:colOff>
      <xdr:row>7</xdr:row>
      <xdr:rowOff>482600</xdr:rowOff>
    </xdr:from>
    <xdr:to>
      <xdr:col>6</xdr:col>
      <xdr:colOff>44450</xdr:colOff>
      <xdr:row>8</xdr:row>
      <xdr:rowOff>12700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59961D73-3C18-4656-9E9C-726E0FF496A2}"/>
            </a:ext>
          </a:extLst>
        </xdr:cNvPr>
        <xdr:cNvCxnSpPr/>
      </xdr:nvCxnSpPr>
      <xdr:spPr>
        <a:xfrm>
          <a:off x="1231900" y="1911350"/>
          <a:ext cx="2489200" cy="190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584200</xdr:colOff>
      <xdr:row>12</xdr:row>
      <xdr:rowOff>0</xdr:rowOff>
    </xdr:from>
    <xdr:to>
      <xdr:col>5</xdr:col>
      <xdr:colOff>298450</xdr:colOff>
      <xdr:row>12</xdr:row>
      <xdr:rowOff>6350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1840EA2B-CA7A-45C6-89C2-71213592A00E}"/>
            </a:ext>
          </a:extLst>
        </xdr:cNvPr>
        <xdr:cNvCxnSpPr/>
      </xdr:nvCxnSpPr>
      <xdr:spPr>
        <a:xfrm flipV="1">
          <a:off x="1193800" y="2813050"/>
          <a:ext cx="217170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12</xdr:row>
      <xdr:rowOff>444500</xdr:rowOff>
    </xdr:from>
    <xdr:to>
      <xdr:col>8</xdr:col>
      <xdr:colOff>584200</xdr:colOff>
      <xdr:row>13</xdr:row>
      <xdr:rowOff>6350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9850A08F-D04E-4EDB-9CCE-811BD60AF572}"/>
            </a:ext>
          </a:extLst>
        </xdr:cNvPr>
        <xdr:cNvCxnSpPr/>
      </xdr:nvCxnSpPr>
      <xdr:spPr>
        <a:xfrm>
          <a:off x="1244600" y="3257550"/>
          <a:ext cx="4235450" cy="190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8</xdr:row>
      <xdr:rowOff>0</xdr:rowOff>
    </xdr:from>
    <xdr:to>
      <xdr:col>6</xdr:col>
      <xdr:colOff>19050</xdr:colOff>
      <xdr:row>13</xdr:row>
      <xdr:rowOff>6350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E6B2D46A-3F1E-47A9-B1A2-40F5A698C2BA}"/>
            </a:ext>
          </a:extLst>
        </xdr:cNvPr>
        <xdr:cNvCxnSpPr/>
      </xdr:nvCxnSpPr>
      <xdr:spPr>
        <a:xfrm flipH="1">
          <a:off x="3689350" y="1917700"/>
          <a:ext cx="6350" cy="13589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273050</xdr:colOff>
      <xdr:row>7</xdr:row>
      <xdr:rowOff>44450</xdr:rowOff>
    </xdr:from>
    <xdr:to>
      <xdr:col>5</xdr:col>
      <xdr:colOff>285750</xdr:colOff>
      <xdr:row>11</xdr:row>
      <xdr:rowOff>177800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D8A94959-9980-495A-85E7-7715F5EC3BBE}"/>
            </a:ext>
          </a:extLst>
        </xdr:cNvPr>
        <xdr:cNvCxnSpPr/>
      </xdr:nvCxnSpPr>
      <xdr:spPr>
        <a:xfrm flipV="1">
          <a:off x="3340100" y="1473200"/>
          <a:ext cx="12700" cy="13335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584200</xdr:colOff>
      <xdr:row>5</xdr:row>
      <xdr:rowOff>31750</xdr:rowOff>
    </xdr:from>
    <xdr:to>
      <xdr:col>9</xdr:col>
      <xdr:colOff>590550</xdr:colOff>
      <xdr:row>6</xdr:row>
      <xdr:rowOff>158750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202D59D4-1FD6-492C-B85C-21CD9F9769E7}"/>
            </a:ext>
          </a:extLst>
        </xdr:cNvPr>
        <xdr:cNvCxnSpPr/>
      </xdr:nvCxnSpPr>
      <xdr:spPr>
        <a:xfrm flipV="1">
          <a:off x="6089650" y="920750"/>
          <a:ext cx="6350" cy="4826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596900</xdr:colOff>
      <xdr:row>7</xdr:row>
      <xdr:rowOff>463550</xdr:rowOff>
    </xdr:from>
    <xdr:to>
      <xdr:col>10</xdr:col>
      <xdr:colOff>603250</xdr:colOff>
      <xdr:row>9</xdr:row>
      <xdr:rowOff>158750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B723E5FA-8C77-4693-B099-249EB9496D5B}"/>
            </a:ext>
          </a:extLst>
        </xdr:cNvPr>
        <xdr:cNvCxnSpPr/>
      </xdr:nvCxnSpPr>
      <xdr:spPr>
        <a:xfrm>
          <a:off x="6711950" y="1892300"/>
          <a:ext cx="6350" cy="3619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596900</xdr:colOff>
      <xdr:row>5</xdr:row>
      <xdr:rowOff>12700</xdr:rowOff>
    </xdr:from>
    <xdr:to>
      <xdr:col>15</xdr:col>
      <xdr:colOff>57150</xdr:colOff>
      <xdr:row>5</xdr:row>
      <xdr:rowOff>25400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C906D0F6-85F2-416C-9D82-4C4861E105F0}"/>
            </a:ext>
          </a:extLst>
        </xdr:cNvPr>
        <xdr:cNvCxnSpPr/>
      </xdr:nvCxnSpPr>
      <xdr:spPr>
        <a:xfrm>
          <a:off x="6102350" y="901700"/>
          <a:ext cx="3117850" cy="127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444500</xdr:colOff>
      <xdr:row>5</xdr:row>
      <xdr:rowOff>0</xdr:rowOff>
    </xdr:from>
    <xdr:to>
      <xdr:col>13</xdr:col>
      <xdr:colOff>450850</xdr:colOff>
      <xdr:row>11</xdr:row>
      <xdr:rowOff>152400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2C8EFD32-0D19-460D-8D1C-66046D02CC69}"/>
            </a:ext>
          </a:extLst>
        </xdr:cNvPr>
        <xdr:cNvCxnSpPr/>
      </xdr:nvCxnSpPr>
      <xdr:spPr>
        <a:xfrm flipV="1">
          <a:off x="8388350" y="889000"/>
          <a:ext cx="6350" cy="18923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603250</xdr:colOff>
      <xdr:row>7</xdr:row>
      <xdr:rowOff>463550</xdr:rowOff>
    </xdr:from>
    <xdr:to>
      <xdr:col>11</xdr:col>
      <xdr:colOff>57150</xdr:colOff>
      <xdr:row>7</xdr:row>
      <xdr:rowOff>469900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AAB5DFB2-4934-4B93-B8E1-B6008ECD3EBD}"/>
            </a:ext>
          </a:extLst>
        </xdr:cNvPr>
        <xdr:cNvCxnSpPr/>
      </xdr:nvCxnSpPr>
      <xdr:spPr>
        <a:xfrm flipV="1">
          <a:off x="6108700" y="1892300"/>
          <a:ext cx="67310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7</xdr:row>
      <xdr:rowOff>38100</xdr:rowOff>
    </xdr:from>
    <xdr:to>
      <xdr:col>13</xdr:col>
      <xdr:colOff>57150</xdr:colOff>
      <xdr:row>7</xdr:row>
      <xdr:rowOff>50800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9F5F4087-CE81-4D9A-8B70-4D7D4314E9BE}"/>
            </a:ext>
          </a:extLst>
        </xdr:cNvPr>
        <xdr:cNvCxnSpPr/>
      </xdr:nvCxnSpPr>
      <xdr:spPr>
        <a:xfrm>
          <a:off x="6121400" y="1466850"/>
          <a:ext cx="1879600" cy="127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7</xdr:row>
      <xdr:rowOff>38100</xdr:rowOff>
    </xdr:from>
    <xdr:to>
      <xdr:col>11</xdr:col>
      <xdr:colOff>69850</xdr:colOff>
      <xdr:row>7</xdr:row>
      <xdr:rowOff>44450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3343D382-7074-4ADF-AABF-F946D9768B94}"/>
            </a:ext>
          </a:extLst>
        </xdr:cNvPr>
        <xdr:cNvCxnSpPr/>
      </xdr:nvCxnSpPr>
      <xdr:spPr>
        <a:xfrm flipV="1">
          <a:off x="6121400" y="1466850"/>
          <a:ext cx="67310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7</xdr:row>
      <xdr:rowOff>31750</xdr:rowOff>
    </xdr:from>
    <xdr:to>
      <xdr:col>13</xdr:col>
      <xdr:colOff>38100</xdr:colOff>
      <xdr:row>8</xdr:row>
      <xdr:rowOff>76200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B5EA6217-CBA7-4129-A2E2-969C073E9744}"/>
            </a:ext>
          </a:extLst>
        </xdr:cNvPr>
        <xdr:cNvCxnSpPr/>
      </xdr:nvCxnSpPr>
      <xdr:spPr>
        <a:xfrm>
          <a:off x="7981950" y="1460500"/>
          <a:ext cx="0" cy="5334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8</xdr:row>
      <xdr:rowOff>19050</xdr:rowOff>
    </xdr:from>
    <xdr:to>
      <xdr:col>15</xdr:col>
      <xdr:colOff>6350</xdr:colOff>
      <xdr:row>8</xdr:row>
      <xdr:rowOff>25400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6806CEA0-6797-4C46-84AF-78AB2A7AE57D}"/>
            </a:ext>
          </a:extLst>
        </xdr:cNvPr>
        <xdr:cNvCxnSpPr/>
      </xdr:nvCxnSpPr>
      <xdr:spPr>
        <a:xfrm>
          <a:off x="8020050" y="1936750"/>
          <a:ext cx="114935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577850</xdr:colOff>
      <xdr:row>11</xdr:row>
      <xdr:rowOff>165100</xdr:rowOff>
    </xdr:from>
    <xdr:to>
      <xdr:col>11</xdr:col>
      <xdr:colOff>31750</xdr:colOff>
      <xdr:row>11</xdr:row>
      <xdr:rowOff>171450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66F126C3-9D07-487A-901A-5CA799F80513}"/>
            </a:ext>
          </a:extLst>
        </xdr:cNvPr>
        <xdr:cNvCxnSpPr/>
      </xdr:nvCxnSpPr>
      <xdr:spPr>
        <a:xfrm flipV="1">
          <a:off x="6083300" y="2794000"/>
          <a:ext cx="67310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596900</xdr:colOff>
      <xdr:row>11</xdr:row>
      <xdr:rowOff>171450</xdr:rowOff>
    </xdr:from>
    <xdr:to>
      <xdr:col>13</xdr:col>
      <xdr:colOff>482600</xdr:colOff>
      <xdr:row>12</xdr:row>
      <xdr:rowOff>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A49DA07C-4A7B-4F78-AB01-6345C04049FE}"/>
            </a:ext>
          </a:extLst>
        </xdr:cNvPr>
        <xdr:cNvCxnSpPr/>
      </xdr:nvCxnSpPr>
      <xdr:spPr>
        <a:xfrm>
          <a:off x="7931150" y="2800350"/>
          <a:ext cx="495300" cy="127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196850</xdr:colOff>
      <xdr:row>8</xdr:row>
      <xdr:rowOff>6350</xdr:rowOff>
    </xdr:from>
    <xdr:to>
      <xdr:col>14</xdr:col>
      <xdr:colOff>209550</xdr:colOff>
      <xdr:row>13</xdr:row>
      <xdr:rowOff>6350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471E6635-7DA7-4544-A009-0239176075EC}"/>
            </a:ext>
          </a:extLst>
        </xdr:cNvPr>
        <xdr:cNvCxnSpPr/>
      </xdr:nvCxnSpPr>
      <xdr:spPr>
        <a:xfrm flipV="1">
          <a:off x="8750300" y="1924050"/>
          <a:ext cx="12700" cy="13525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577850</xdr:colOff>
      <xdr:row>13</xdr:row>
      <xdr:rowOff>6350</xdr:rowOff>
    </xdr:from>
    <xdr:to>
      <xdr:col>11</xdr:col>
      <xdr:colOff>31750</xdr:colOff>
      <xdr:row>13</xdr:row>
      <xdr:rowOff>12700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D5307D06-79B4-4AAF-81AE-26643CA35F3F}"/>
            </a:ext>
          </a:extLst>
        </xdr:cNvPr>
        <xdr:cNvCxnSpPr/>
      </xdr:nvCxnSpPr>
      <xdr:spPr>
        <a:xfrm flipV="1">
          <a:off x="6083300" y="3276600"/>
          <a:ext cx="67310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13</xdr:row>
      <xdr:rowOff>12700</xdr:rowOff>
    </xdr:from>
    <xdr:to>
      <xdr:col>14</xdr:col>
      <xdr:colOff>215900</xdr:colOff>
      <xdr:row>13</xdr:row>
      <xdr:rowOff>25400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A1D88CD4-D3D5-440F-943D-CF583116B904}"/>
            </a:ext>
          </a:extLst>
        </xdr:cNvPr>
        <xdr:cNvCxnSpPr/>
      </xdr:nvCxnSpPr>
      <xdr:spPr>
        <a:xfrm flipV="1">
          <a:off x="7981950" y="3282950"/>
          <a:ext cx="787400" cy="127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431800</xdr:colOff>
      <xdr:row>10</xdr:row>
      <xdr:rowOff>6350</xdr:rowOff>
    </xdr:from>
    <xdr:to>
      <xdr:col>14</xdr:col>
      <xdr:colOff>438150</xdr:colOff>
      <xdr:row>15</xdr:row>
      <xdr:rowOff>38100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26616484-1B7E-44A1-888F-B464C12E5C31}"/>
            </a:ext>
          </a:extLst>
        </xdr:cNvPr>
        <xdr:cNvCxnSpPr/>
      </xdr:nvCxnSpPr>
      <xdr:spPr>
        <a:xfrm flipH="1">
          <a:off x="8985250" y="2279650"/>
          <a:ext cx="6350" cy="13843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12700</xdr:colOff>
      <xdr:row>9</xdr:row>
      <xdr:rowOff>171450</xdr:rowOff>
    </xdr:from>
    <xdr:to>
      <xdr:col>14</xdr:col>
      <xdr:colOff>469900</xdr:colOff>
      <xdr:row>9</xdr:row>
      <xdr:rowOff>171450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B136978E-1210-44D6-8547-59C9FAD14450}"/>
            </a:ext>
          </a:extLst>
        </xdr:cNvPr>
        <xdr:cNvCxnSpPr/>
      </xdr:nvCxnSpPr>
      <xdr:spPr>
        <a:xfrm>
          <a:off x="7956550" y="2266950"/>
          <a:ext cx="10668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298450</xdr:colOff>
      <xdr:row>12</xdr:row>
      <xdr:rowOff>444500</xdr:rowOff>
    </xdr:from>
    <xdr:to>
      <xdr:col>9</xdr:col>
      <xdr:colOff>311150</xdr:colOff>
      <xdr:row>15</xdr:row>
      <xdr:rowOff>158750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C2C9F110-B8A5-4EA0-B84C-D487A1CFDB7B}"/>
            </a:ext>
          </a:extLst>
        </xdr:cNvPr>
        <xdr:cNvCxnSpPr/>
      </xdr:nvCxnSpPr>
      <xdr:spPr>
        <a:xfrm>
          <a:off x="5803900" y="3257550"/>
          <a:ext cx="12700" cy="5270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330200</xdr:colOff>
      <xdr:row>15</xdr:row>
      <xdr:rowOff>133350</xdr:rowOff>
    </xdr:from>
    <xdr:to>
      <xdr:col>10</xdr:col>
      <xdr:colOff>558800</xdr:colOff>
      <xdr:row>15</xdr:row>
      <xdr:rowOff>146050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899C65D9-3265-47C7-A561-6B9DB0C33F99}"/>
            </a:ext>
          </a:extLst>
        </xdr:cNvPr>
        <xdr:cNvCxnSpPr/>
      </xdr:nvCxnSpPr>
      <xdr:spPr>
        <a:xfrm flipV="1">
          <a:off x="5835650" y="3759200"/>
          <a:ext cx="838200" cy="127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603250</xdr:colOff>
      <xdr:row>15</xdr:row>
      <xdr:rowOff>31750</xdr:rowOff>
    </xdr:from>
    <xdr:to>
      <xdr:col>15</xdr:col>
      <xdr:colOff>114300</xdr:colOff>
      <xdr:row>15</xdr:row>
      <xdr:rowOff>31750</xdr:rowOff>
    </xdr:to>
    <xdr:cxnSp macro="">
      <xdr:nvCxnSpPr>
        <xdr:cNvPr id="26" name="Łącznik prosty ze strzałką 25">
          <a:extLst>
            <a:ext uri="{FF2B5EF4-FFF2-40B4-BE49-F238E27FC236}">
              <a16:creationId xmlns:a16="http://schemas.microsoft.com/office/drawing/2014/main" id="{D8629D9D-269A-40C7-B39A-8727069DC0AD}"/>
            </a:ext>
          </a:extLst>
        </xdr:cNvPr>
        <xdr:cNvCxnSpPr/>
      </xdr:nvCxnSpPr>
      <xdr:spPr>
        <a:xfrm>
          <a:off x="7937500" y="3657600"/>
          <a:ext cx="13398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13</xdr:row>
      <xdr:rowOff>6350</xdr:rowOff>
    </xdr:from>
    <xdr:to>
      <xdr:col>15</xdr:col>
      <xdr:colOff>44450</xdr:colOff>
      <xdr:row>14</xdr:row>
      <xdr:rowOff>133350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940087C0-F4B9-4F54-8241-5938745E4516}"/>
            </a:ext>
          </a:extLst>
        </xdr:cNvPr>
        <xdr:cNvCxnSpPr/>
      </xdr:nvCxnSpPr>
      <xdr:spPr>
        <a:xfrm flipH="1" flipV="1">
          <a:off x="9201150" y="3276600"/>
          <a:ext cx="6350" cy="3048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590550</xdr:colOff>
      <xdr:row>5</xdr:row>
      <xdr:rowOff>209550</xdr:rowOff>
    </xdr:from>
    <xdr:to>
      <xdr:col>18</xdr:col>
      <xdr:colOff>44450</xdr:colOff>
      <xdr:row>5</xdr:row>
      <xdr:rowOff>215900</xdr:rowOff>
    </xdr:to>
    <xdr:cxnSp macro="">
      <xdr:nvCxnSpPr>
        <xdr:cNvPr id="28" name="Łącznik prosty ze strzałką 27">
          <a:extLst>
            <a:ext uri="{FF2B5EF4-FFF2-40B4-BE49-F238E27FC236}">
              <a16:creationId xmlns:a16="http://schemas.microsoft.com/office/drawing/2014/main" id="{AC1FC352-F9EA-4ADD-8C9C-85A22DC61471}"/>
            </a:ext>
          </a:extLst>
        </xdr:cNvPr>
        <xdr:cNvCxnSpPr/>
      </xdr:nvCxnSpPr>
      <xdr:spPr>
        <a:xfrm flipV="1">
          <a:off x="10363200" y="1098550"/>
          <a:ext cx="67310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590550</xdr:colOff>
      <xdr:row>8</xdr:row>
      <xdr:rowOff>158750</xdr:rowOff>
    </xdr:from>
    <xdr:to>
      <xdr:col>18</xdr:col>
      <xdr:colOff>44450</xdr:colOff>
      <xdr:row>8</xdr:row>
      <xdr:rowOff>165100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64AB7203-76AE-42C1-AE03-C0788B9AC11E}"/>
            </a:ext>
          </a:extLst>
        </xdr:cNvPr>
        <xdr:cNvCxnSpPr/>
      </xdr:nvCxnSpPr>
      <xdr:spPr>
        <a:xfrm flipV="1">
          <a:off x="10363200" y="2076450"/>
          <a:ext cx="67310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584200</xdr:colOff>
      <xdr:row>12</xdr:row>
      <xdr:rowOff>273050</xdr:rowOff>
    </xdr:from>
    <xdr:to>
      <xdr:col>18</xdr:col>
      <xdr:colOff>38100</xdr:colOff>
      <xdr:row>12</xdr:row>
      <xdr:rowOff>279400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8397BFB2-04B8-439B-A63F-B48E3870448A}"/>
            </a:ext>
          </a:extLst>
        </xdr:cNvPr>
        <xdr:cNvCxnSpPr/>
      </xdr:nvCxnSpPr>
      <xdr:spPr>
        <a:xfrm flipV="1">
          <a:off x="10356850" y="3086100"/>
          <a:ext cx="67310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457201</xdr:colOff>
      <xdr:row>11</xdr:row>
      <xdr:rowOff>25401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4809FD05-94D1-4BAA-AE2D-BDDC4424B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43601" cy="1981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FA26-3909-4C13-8CB1-6D207B8A9BB5}">
  <dimension ref="A1:E151"/>
  <sheetViews>
    <sheetView workbookViewId="0">
      <selection activeCell="H12" sqref="H12"/>
    </sheetView>
  </sheetViews>
  <sheetFormatPr defaultRowHeight="14"/>
  <sheetData>
    <row r="1" spans="1:5" ht="33">
      <c r="A1" s="2" t="s">
        <v>0</v>
      </c>
      <c r="B1" s="2" t="s">
        <v>5</v>
      </c>
      <c r="C1" s="2" t="s">
        <v>6</v>
      </c>
      <c r="D1" s="2" t="s">
        <v>7</v>
      </c>
    </row>
    <row r="2" spans="1:5">
      <c r="A2">
        <v>5.0999999999999996</v>
      </c>
      <c r="B2">
        <v>3.5</v>
      </c>
      <c r="C2">
        <v>1.4</v>
      </c>
      <c r="D2">
        <v>0.2</v>
      </c>
      <c r="E2" t="s">
        <v>12</v>
      </c>
    </row>
    <row r="3" spans="1:5">
      <c r="A3">
        <v>4.9000000000000004</v>
      </c>
      <c r="B3">
        <v>3</v>
      </c>
      <c r="C3">
        <v>1.4</v>
      </c>
      <c r="D3">
        <v>0.2</v>
      </c>
      <c r="E3" t="s">
        <v>12</v>
      </c>
    </row>
    <row r="4" spans="1:5">
      <c r="A4">
        <v>4.7</v>
      </c>
      <c r="B4">
        <v>3.2</v>
      </c>
      <c r="C4">
        <v>1.3</v>
      </c>
      <c r="D4">
        <v>0.2</v>
      </c>
      <c r="E4" t="s">
        <v>12</v>
      </c>
    </row>
    <row r="5" spans="1:5">
      <c r="A5">
        <v>4.5999999999999996</v>
      </c>
      <c r="B5">
        <v>3.1</v>
      </c>
      <c r="C5">
        <v>1.5</v>
      </c>
      <c r="D5">
        <v>0.2</v>
      </c>
      <c r="E5" t="s">
        <v>12</v>
      </c>
    </row>
    <row r="6" spans="1:5">
      <c r="A6">
        <v>5</v>
      </c>
      <c r="B6">
        <v>3.6</v>
      </c>
      <c r="C6">
        <v>1.4</v>
      </c>
      <c r="D6">
        <v>0.2</v>
      </c>
      <c r="E6" t="s">
        <v>12</v>
      </c>
    </row>
    <row r="7" spans="1:5">
      <c r="A7">
        <v>5.4</v>
      </c>
      <c r="B7">
        <v>3.9</v>
      </c>
      <c r="C7">
        <v>1.7</v>
      </c>
      <c r="D7">
        <v>0.4</v>
      </c>
      <c r="E7" t="s">
        <v>12</v>
      </c>
    </row>
    <row r="8" spans="1:5">
      <c r="A8">
        <v>4.5999999999999996</v>
      </c>
      <c r="B8">
        <v>3.4</v>
      </c>
      <c r="C8">
        <v>1.4</v>
      </c>
      <c r="D8">
        <v>0.3</v>
      </c>
      <c r="E8" t="s">
        <v>12</v>
      </c>
    </row>
    <row r="9" spans="1:5">
      <c r="A9">
        <v>5</v>
      </c>
      <c r="B9">
        <v>3.4</v>
      </c>
      <c r="C9">
        <v>1.5</v>
      </c>
      <c r="D9">
        <v>0.2</v>
      </c>
      <c r="E9" t="s">
        <v>12</v>
      </c>
    </row>
    <row r="10" spans="1:5">
      <c r="A10">
        <v>4.4000000000000004</v>
      </c>
      <c r="B10">
        <v>2.9</v>
      </c>
      <c r="C10">
        <v>1.4</v>
      </c>
      <c r="D10">
        <v>0.2</v>
      </c>
      <c r="E10" t="s">
        <v>12</v>
      </c>
    </row>
    <row r="11" spans="1:5">
      <c r="A11">
        <v>4.9000000000000004</v>
      </c>
      <c r="B11">
        <v>3.1</v>
      </c>
      <c r="C11">
        <v>1.5</v>
      </c>
      <c r="D11">
        <v>0.1</v>
      </c>
      <c r="E11" t="s">
        <v>12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12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12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12</v>
      </c>
    </row>
    <row r="15" spans="1:5">
      <c r="A15">
        <v>4.3</v>
      </c>
      <c r="B15">
        <v>3</v>
      </c>
      <c r="C15">
        <v>1.1000000000000001</v>
      </c>
      <c r="D15">
        <v>0.1</v>
      </c>
      <c r="E15" t="s">
        <v>12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12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12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12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12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12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12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12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12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12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12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12</v>
      </c>
    </row>
    <row r="27" spans="1:5">
      <c r="A27">
        <v>5</v>
      </c>
      <c r="B27">
        <v>3</v>
      </c>
      <c r="C27">
        <v>1.6</v>
      </c>
      <c r="D27">
        <v>0.2</v>
      </c>
      <c r="E27" t="s">
        <v>12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12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12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12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12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12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12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12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12</v>
      </c>
    </row>
    <row r="36" spans="1:5">
      <c r="A36">
        <v>4.9000000000000004</v>
      </c>
      <c r="B36">
        <v>3.1</v>
      </c>
      <c r="C36">
        <v>1.5</v>
      </c>
      <c r="D36">
        <v>0.1</v>
      </c>
      <c r="E36" t="s">
        <v>12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12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12</v>
      </c>
    </row>
    <row r="39" spans="1:5">
      <c r="A39">
        <v>4.9000000000000004</v>
      </c>
      <c r="B39">
        <v>3.1</v>
      </c>
      <c r="C39">
        <v>1.5</v>
      </c>
      <c r="D39">
        <v>0.1</v>
      </c>
      <c r="E39" t="s">
        <v>12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12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12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12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12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12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12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12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12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12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12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12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12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13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13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13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13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13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13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13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13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13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13</v>
      </c>
    </row>
    <row r="62" spans="1:5">
      <c r="A62">
        <v>5</v>
      </c>
      <c r="B62">
        <v>2</v>
      </c>
      <c r="C62">
        <v>3.5</v>
      </c>
      <c r="D62">
        <v>1</v>
      </c>
      <c r="E62" t="s">
        <v>13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13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13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13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13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13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13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13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13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13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13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13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13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13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13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13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13</v>
      </c>
    </row>
    <row r="79" spans="1:5">
      <c r="A79">
        <v>6.7</v>
      </c>
      <c r="B79">
        <v>3</v>
      </c>
      <c r="C79">
        <v>5</v>
      </c>
      <c r="D79">
        <v>1.7</v>
      </c>
      <c r="E79" t="s">
        <v>13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13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13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13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13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13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13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13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13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13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13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13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13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13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13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13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13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13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13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13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13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13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13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14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14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14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14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14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14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14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14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14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14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14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14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14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14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14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14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14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14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14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14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14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14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14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14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14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14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14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14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14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14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14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14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14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14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14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14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14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14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14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14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14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14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14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14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14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14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14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14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14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3C79-7BF6-4F0B-9C37-DE906C92F8C9}">
  <dimension ref="A1:E152"/>
  <sheetViews>
    <sheetView workbookViewId="0">
      <selection activeCell="G16" sqref="G16"/>
    </sheetView>
  </sheetViews>
  <sheetFormatPr defaultRowHeight="14"/>
  <sheetData>
    <row r="1" spans="1:5" ht="16.5">
      <c r="A1" s="17" t="s">
        <v>33</v>
      </c>
      <c r="B1" s="17" t="s">
        <v>34</v>
      </c>
      <c r="C1" s="3" t="s">
        <v>35</v>
      </c>
    </row>
    <row r="2" spans="1:5">
      <c r="A2">
        <v>0.2</v>
      </c>
      <c r="B2">
        <v>3.5</v>
      </c>
      <c r="C2" t="s">
        <v>12</v>
      </c>
      <c r="E2" t="s">
        <v>42</v>
      </c>
    </row>
    <row r="3" spans="1:5">
      <c r="A3">
        <v>0.2</v>
      </c>
      <c r="B3">
        <v>3</v>
      </c>
      <c r="C3" t="s">
        <v>12</v>
      </c>
      <c r="E3" t="s">
        <v>43</v>
      </c>
    </row>
    <row r="4" spans="1:5">
      <c r="A4">
        <v>0.2</v>
      </c>
      <c r="B4">
        <v>3.2</v>
      </c>
      <c r="C4" t="s">
        <v>12</v>
      </c>
    </row>
    <row r="5" spans="1:5">
      <c r="A5">
        <v>0.2</v>
      </c>
      <c r="B5">
        <v>3.1</v>
      </c>
      <c r="C5" t="s">
        <v>12</v>
      </c>
    </row>
    <row r="6" spans="1:5">
      <c r="A6">
        <v>0.2</v>
      </c>
      <c r="B6">
        <v>3.6</v>
      </c>
      <c r="C6" t="s">
        <v>12</v>
      </c>
    </row>
    <row r="7" spans="1:5">
      <c r="A7">
        <v>0.4</v>
      </c>
      <c r="B7">
        <v>3.9</v>
      </c>
      <c r="C7" t="s">
        <v>12</v>
      </c>
    </row>
    <row r="8" spans="1:5">
      <c r="A8">
        <v>0.3</v>
      </c>
      <c r="B8">
        <v>3.4</v>
      </c>
      <c r="C8" t="s">
        <v>12</v>
      </c>
    </row>
    <row r="9" spans="1:5">
      <c r="A9">
        <v>0.2</v>
      </c>
      <c r="B9">
        <v>3.4</v>
      </c>
      <c r="C9" t="s">
        <v>12</v>
      </c>
    </row>
    <row r="10" spans="1:5">
      <c r="A10">
        <v>0.2</v>
      </c>
      <c r="B10">
        <v>2.9</v>
      </c>
      <c r="C10" t="s">
        <v>12</v>
      </c>
    </row>
    <row r="11" spans="1:5">
      <c r="A11">
        <v>0.1</v>
      </c>
      <c r="B11">
        <v>3.1</v>
      </c>
      <c r="C11" t="s">
        <v>12</v>
      </c>
    </row>
    <row r="12" spans="1:5">
      <c r="A12">
        <v>0.2</v>
      </c>
      <c r="B12">
        <v>3.7</v>
      </c>
      <c r="C12" t="s">
        <v>12</v>
      </c>
    </row>
    <row r="13" spans="1:5">
      <c r="A13">
        <v>0.2</v>
      </c>
      <c r="B13">
        <v>3.4</v>
      </c>
      <c r="C13" t="s">
        <v>12</v>
      </c>
    </row>
    <row r="14" spans="1:5">
      <c r="A14">
        <v>0.1</v>
      </c>
      <c r="B14">
        <v>3</v>
      </c>
      <c r="C14" t="s">
        <v>12</v>
      </c>
    </row>
    <row r="15" spans="1:5">
      <c r="A15">
        <v>0.1</v>
      </c>
      <c r="B15">
        <v>3</v>
      </c>
      <c r="C15" t="s">
        <v>12</v>
      </c>
    </row>
    <row r="16" spans="1:5">
      <c r="A16">
        <v>0.2</v>
      </c>
      <c r="B16">
        <v>4</v>
      </c>
      <c r="C16" t="s">
        <v>12</v>
      </c>
    </row>
    <row r="17" spans="1:3">
      <c r="A17">
        <v>0.4</v>
      </c>
      <c r="B17">
        <v>4.4000000000000004</v>
      </c>
      <c r="C17" t="s">
        <v>12</v>
      </c>
    </row>
    <row r="18" spans="1:3">
      <c r="A18">
        <v>0.4</v>
      </c>
      <c r="B18">
        <v>3.9</v>
      </c>
      <c r="C18" t="s">
        <v>12</v>
      </c>
    </row>
    <row r="19" spans="1:3">
      <c r="A19">
        <v>0.3</v>
      </c>
      <c r="B19">
        <v>3.5</v>
      </c>
      <c r="C19" t="s">
        <v>12</v>
      </c>
    </row>
    <row r="20" spans="1:3">
      <c r="A20">
        <v>0.3</v>
      </c>
      <c r="B20">
        <v>3.8</v>
      </c>
      <c r="C20" t="s">
        <v>12</v>
      </c>
    </row>
    <row r="21" spans="1:3">
      <c r="A21">
        <v>0.3</v>
      </c>
      <c r="B21">
        <v>3.8</v>
      </c>
      <c r="C21" t="s">
        <v>12</v>
      </c>
    </row>
    <row r="22" spans="1:3">
      <c r="A22">
        <v>0.2</v>
      </c>
      <c r="B22">
        <v>3.4</v>
      </c>
      <c r="C22" t="s">
        <v>12</v>
      </c>
    </row>
    <row r="23" spans="1:3">
      <c r="A23">
        <v>0.4</v>
      </c>
      <c r="B23">
        <v>3.7</v>
      </c>
      <c r="C23" t="s">
        <v>12</v>
      </c>
    </row>
    <row r="24" spans="1:3">
      <c r="A24">
        <v>0.2</v>
      </c>
      <c r="B24">
        <v>3.6</v>
      </c>
      <c r="C24" t="s">
        <v>12</v>
      </c>
    </row>
    <row r="25" spans="1:3">
      <c r="A25">
        <v>0.5</v>
      </c>
      <c r="B25">
        <v>3.3</v>
      </c>
      <c r="C25" t="s">
        <v>12</v>
      </c>
    </row>
    <row r="26" spans="1:3">
      <c r="A26">
        <v>0.2</v>
      </c>
      <c r="B26">
        <v>3.4</v>
      </c>
      <c r="C26" t="s">
        <v>12</v>
      </c>
    </row>
    <row r="27" spans="1:3">
      <c r="A27">
        <v>0.2</v>
      </c>
      <c r="B27">
        <v>3</v>
      </c>
      <c r="C27" t="s">
        <v>12</v>
      </c>
    </row>
    <row r="28" spans="1:3">
      <c r="A28">
        <v>0.4</v>
      </c>
      <c r="B28">
        <v>3.4</v>
      </c>
      <c r="C28" t="s">
        <v>12</v>
      </c>
    </row>
    <row r="29" spans="1:3">
      <c r="A29">
        <v>0.2</v>
      </c>
      <c r="B29">
        <v>3.5</v>
      </c>
      <c r="C29" t="s">
        <v>12</v>
      </c>
    </row>
    <row r="30" spans="1:3">
      <c r="A30">
        <v>0.2</v>
      </c>
      <c r="B30">
        <v>3.4</v>
      </c>
      <c r="C30" t="s">
        <v>12</v>
      </c>
    </row>
    <row r="31" spans="1:3">
      <c r="A31">
        <v>0.2</v>
      </c>
      <c r="B31">
        <v>3.2</v>
      </c>
      <c r="C31" t="s">
        <v>12</v>
      </c>
    </row>
    <row r="32" spans="1:3">
      <c r="A32">
        <v>0.2</v>
      </c>
      <c r="B32">
        <v>3.1</v>
      </c>
      <c r="C32" t="s">
        <v>12</v>
      </c>
    </row>
    <row r="33" spans="1:3">
      <c r="A33">
        <v>0.4</v>
      </c>
      <c r="B33">
        <v>3.4</v>
      </c>
      <c r="C33" t="s">
        <v>12</v>
      </c>
    </row>
    <row r="34" spans="1:3">
      <c r="A34">
        <v>0.1</v>
      </c>
      <c r="B34">
        <v>4.0999999999999996</v>
      </c>
      <c r="C34" t="s">
        <v>12</v>
      </c>
    </row>
    <row r="35" spans="1:3">
      <c r="A35">
        <v>0.2</v>
      </c>
      <c r="B35">
        <v>4.2</v>
      </c>
      <c r="C35" t="s">
        <v>12</v>
      </c>
    </row>
    <row r="36" spans="1:3">
      <c r="A36">
        <v>0.1</v>
      </c>
      <c r="B36">
        <v>3.1</v>
      </c>
      <c r="C36" t="s">
        <v>12</v>
      </c>
    </row>
    <row r="37" spans="1:3">
      <c r="A37">
        <v>0.2</v>
      </c>
      <c r="B37">
        <v>3.2</v>
      </c>
      <c r="C37" t="s">
        <v>12</v>
      </c>
    </row>
    <row r="38" spans="1:3">
      <c r="A38">
        <v>0.2</v>
      </c>
      <c r="B38">
        <v>3.5</v>
      </c>
      <c r="C38" t="s">
        <v>12</v>
      </c>
    </row>
    <row r="39" spans="1:3">
      <c r="A39">
        <v>0.1</v>
      </c>
      <c r="B39">
        <v>3.1</v>
      </c>
      <c r="C39" t="s">
        <v>12</v>
      </c>
    </row>
    <row r="40" spans="1:3">
      <c r="A40">
        <v>0.2</v>
      </c>
      <c r="B40">
        <v>3</v>
      </c>
      <c r="C40" t="s">
        <v>12</v>
      </c>
    </row>
    <row r="41" spans="1:3">
      <c r="A41">
        <v>0.2</v>
      </c>
      <c r="B41">
        <v>3.4</v>
      </c>
      <c r="C41" t="s">
        <v>12</v>
      </c>
    </row>
    <row r="42" spans="1:3">
      <c r="A42">
        <v>0.3</v>
      </c>
      <c r="B42">
        <v>3.5</v>
      </c>
      <c r="C42" t="s">
        <v>12</v>
      </c>
    </row>
    <row r="43" spans="1:3">
      <c r="A43">
        <v>0.3</v>
      </c>
      <c r="B43">
        <v>2.2999999999999998</v>
      </c>
      <c r="C43" t="s">
        <v>12</v>
      </c>
    </row>
    <row r="44" spans="1:3">
      <c r="A44">
        <v>0.2</v>
      </c>
      <c r="B44">
        <v>3.2</v>
      </c>
      <c r="C44" t="s">
        <v>12</v>
      </c>
    </row>
    <row r="45" spans="1:3">
      <c r="A45">
        <v>0.6</v>
      </c>
      <c r="B45">
        <v>3.5</v>
      </c>
      <c r="C45" t="s">
        <v>12</v>
      </c>
    </row>
    <row r="46" spans="1:3">
      <c r="A46">
        <v>0.4</v>
      </c>
      <c r="B46">
        <v>3.8</v>
      </c>
      <c r="C46" t="s">
        <v>12</v>
      </c>
    </row>
    <row r="47" spans="1:3">
      <c r="A47">
        <v>0.3</v>
      </c>
      <c r="B47">
        <v>3</v>
      </c>
      <c r="C47" t="s">
        <v>12</v>
      </c>
    </row>
    <row r="48" spans="1:3">
      <c r="A48">
        <v>0.2</v>
      </c>
      <c r="B48">
        <v>3.8</v>
      </c>
      <c r="C48" t="s">
        <v>12</v>
      </c>
    </row>
    <row r="49" spans="1:3">
      <c r="A49">
        <v>0.2</v>
      </c>
      <c r="B49">
        <v>3.2</v>
      </c>
      <c r="C49" t="s">
        <v>12</v>
      </c>
    </row>
    <row r="50" spans="1:3">
      <c r="A50">
        <v>0.2</v>
      </c>
      <c r="B50">
        <v>3.7</v>
      </c>
      <c r="C50" t="s">
        <v>12</v>
      </c>
    </row>
    <row r="51" spans="1:3">
      <c r="A51">
        <v>0.2</v>
      </c>
      <c r="B51">
        <v>3.3</v>
      </c>
      <c r="C51" t="s">
        <v>12</v>
      </c>
    </row>
    <row r="52" spans="1:3">
      <c r="A52">
        <v>1.4</v>
      </c>
      <c r="B52">
        <v>3.2</v>
      </c>
      <c r="C52" t="s">
        <v>13</v>
      </c>
    </row>
    <row r="53" spans="1:3">
      <c r="A53">
        <v>1.5</v>
      </c>
      <c r="B53">
        <v>3.2</v>
      </c>
      <c r="C53" t="s">
        <v>13</v>
      </c>
    </row>
    <row r="54" spans="1:3">
      <c r="A54">
        <v>1.5</v>
      </c>
      <c r="B54">
        <v>3.1</v>
      </c>
      <c r="C54" t="s">
        <v>13</v>
      </c>
    </row>
    <row r="55" spans="1:3">
      <c r="A55">
        <v>1.3</v>
      </c>
      <c r="B55">
        <v>2.2999999999999998</v>
      </c>
      <c r="C55" t="s">
        <v>13</v>
      </c>
    </row>
    <row r="56" spans="1:3">
      <c r="A56">
        <v>1.5</v>
      </c>
      <c r="B56">
        <v>2.8</v>
      </c>
      <c r="C56" t="s">
        <v>13</v>
      </c>
    </row>
    <row r="57" spans="1:3">
      <c r="A57">
        <v>1.3</v>
      </c>
      <c r="B57">
        <v>2.8</v>
      </c>
      <c r="C57" t="s">
        <v>13</v>
      </c>
    </row>
    <row r="58" spans="1:3">
      <c r="A58">
        <v>1.6</v>
      </c>
      <c r="B58">
        <v>3.3</v>
      </c>
      <c r="C58" t="s">
        <v>13</v>
      </c>
    </row>
    <row r="59" spans="1:3">
      <c r="A59">
        <v>1</v>
      </c>
      <c r="B59">
        <v>2.4</v>
      </c>
      <c r="C59" t="s">
        <v>13</v>
      </c>
    </row>
    <row r="60" spans="1:3">
      <c r="A60">
        <v>1.3</v>
      </c>
      <c r="B60">
        <v>2.9</v>
      </c>
      <c r="C60" t="s">
        <v>13</v>
      </c>
    </row>
    <row r="61" spans="1:3">
      <c r="A61">
        <v>1.4</v>
      </c>
      <c r="B61">
        <v>2.7</v>
      </c>
      <c r="C61" t="s">
        <v>13</v>
      </c>
    </row>
    <row r="62" spans="1:3">
      <c r="A62">
        <v>1</v>
      </c>
      <c r="B62">
        <v>2</v>
      </c>
      <c r="C62" t="s">
        <v>13</v>
      </c>
    </row>
    <row r="63" spans="1:3">
      <c r="A63">
        <v>1.5</v>
      </c>
      <c r="B63">
        <v>3</v>
      </c>
      <c r="C63" t="s">
        <v>13</v>
      </c>
    </row>
    <row r="64" spans="1:3">
      <c r="A64">
        <v>1</v>
      </c>
      <c r="B64">
        <v>2.2000000000000002</v>
      </c>
      <c r="C64" t="s">
        <v>13</v>
      </c>
    </row>
    <row r="65" spans="1:3">
      <c r="A65">
        <v>1.4</v>
      </c>
      <c r="B65">
        <v>2.9</v>
      </c>
      <c r="C65" t="s">
        <v>13</v>
      </c>
    </row>
    <row r="66" spans="1:3">
      <c r="A66">
        <v>1.3</v>
      </c>
      <c r="B66">
        <v>2.9</v>
      </c>
      <c r="C66" t="s">
        <v>13</v>
      </c>
    </row>
    <row r="67" spans="1:3">
      <c r="A67">
        <v>1.4</v>
      </c>
      <c r="B67">
        <v>3.1</v>
      </c>
      <c r="C67" t="s">
        <v>13</v>
      </c>
    </row>
    <row r="68" spans="1:3">
      <c r="A68">
        <v>1.5</v>
      </c>
      <c r="B68">
        <v>3</v>
      </c>
      <c r="C68" t="s">
        <v>13</v>
      </c>
    </row>
    <row r="69" spans="1:3">
      <c r="A69">
        <v>1</v>
      </c>
      <c r="B69">
        <v>2.7</v>
      </c>
      <c r="C69" t="s">
        <v>13</v>
      </c>
    </row>
    <row r="70" spans="1:3">
      <c r="A70">
        <v>1.5</v>
      </c>
      <c r="B70">
        <v>2.2000000000000002</v>
      </c>
      <c r="C70" t="s">
        <v>13</v>
      </c>
    </row>
    <row r="71" spans="1:3">
      <c r="A71">
        <v>1.1000000000000001</v>
      </c>
      <c r="B71">
        <v>2.5</v>
      </c>
      <c r="C71" t="s">
        <v>13</v>
      </c>
    </row>
    <row r="72" spans="1:3">
      <c r="A72">
        <v>1.8</v>
      </c>
      <c r="B72">
        <v>3.2</v>
      </c>
      <c r="C72" t="s">
        <v>13</v>
      </c>
    </row>
    <row r="73" spans="1:3">
      <c r="A73">
        <v>1.3</v>
      </c>
      <c r="B73">
        <v>2.8</v>
      </c>
      <c r="C73" t="s">
        <v>13</v>
      </c>
    </row>
    <row r="74" spans="1:3">
      <c r="A74">
        <v>1.5</v>
      </c>
      <c r="B74">
        <v>2.5</v>
      </c>
      <c r="C74" t="s">
        <v>13</v>
      </c>
    </row>
    <row r="75" spans="1:3">
      <c r="A75">
        <v>1.2</v>
      </c>
      <c r="B75">
        <v>2.8</v>
      </c>
      <c r="C75" t="s">
        <v>13</v>
      </c>
    </row>
    <row r="76" spans="1:3">
      <c r="A76">
        <v>1.3</v>
      </c>
      <c r="B76">
        <v>2.9</v>
      </c>
      <c r="C76" t="s">
        <v>13</v>
      </c>
    </row>
    <row r="77" spans="1:3">
      <c r="A77">
        <v>1.4</v>
      </c>
      <c r="B77">
        <v>3</v>
      </c>
      <c r="C77" t="s">
        <v>13</v>
      </c>
    </row>
    <row r="78" spans="1:3">
      <c r="A78">
        <v>1.4</v>
      </c>
      <c r="B78">
        <v>2.8</v>
      </c>
      <c r="C78" t="s">
        <v>13</v>
      </c>
    </row>
    <row r="79" spans="1:3">
      <c r="A79">
        <v>1.7</v>
      </c>
      <c r="B79">
        <v>3</v>
      </c>
      <c r="C79" t="s">
        <v>13</v>
      </c>
    </row>
    <row r="80" spans="1:3">
      <c r="A80">
        <v>1.5</v>
      </c>
      <c r="B80">
        <v>2.9</v>
      </c>
      <c r="C80" t="s">
        <v>13</v>
      </c>
    </row>
    <row r="81" spans="1:3">
      <c r="A81">
        <v>1</v>
      </c>
      <c r="B81">
        <v>2.6</v>
      </c>
      <c r="C81" t="s">
        <v>13</v>
      </c>
    </row>
    <row r="82" spans="1:3">
      <c r="A82">
        <v>1.1000000000000001</v>
      </c>
      <c r="B82">
        <v>2.4</v>
      </c>
      <c r="C82" t="s">
        <v>13</v>
      </c>
    </row>
    <row r="83" spans="1:3">
      <c r="A83">
        <v>1</v>
      </c>
      <c r="B83">
        <v>2.4</v>
      </c>
      <c r="C83" t="s">
        <v>13</v>
      </c>
    </row>
    <row r="84" spans="1:3">
      <c r="A84">
        <v>1.2</v>
      </c>
      <c r="B84">
        <v>2.7</v>
      </c>
      <c r="C84" t="s">
        <v>13</v>
      </c>
    </row>
    <row r="85" spans="1:3">
      <c r="A85">
        <v>1.6</v>
      </c>
      <c r="B85">
        <v>2.7</v>
      </c>
      <c r="C85" t="s">
        <v>13</v>
      </c>
    </row>
    <row r="86" spans="1:3">
      <c r="A86">
        <v>1.5</v>
      </c>
      <c r="B86">
        <v>3</v>
      </c>
      <c r="C86" t="s">
        <v>13</v>
      </c>
    </row>
    <row r="87" spans="1:3">
      <c r="A87">
        <v>1.6</v>
      </c>
      <c r="B87">
        <v>3.4</v>
      </c>
      <c r="C87" t="s">
        <v>13</v>
      </c>
    </row>
    <row r="88" spans="1:3">
      <c r="A88">
        <v>1.5</v>
      </c>
      <c r="B88">
        <v>3.1</v>
      </c>
      <c r="C88" t="s">
        <v>13</v>
      </c>
    </row>
    <row r="89" spans="1:3">
      <c r="A89">
        <v>1.3</v>
      </c>
      <c r="B89">
        <v>2.2999999999999998</v>
      </c>
      <c r="C89" t="s">
        <v>13</v>
      </c>
    </row>
    <row r="90" spans="1:3">
      <c r="A90">
        <v>1.3</v>
      </c>
      <c r="B90">
        <v>3</v>
      </c>
      <c r="C90" t="s">
        <v>13</v>
      </c>
    </row>
    <row r="91" spans="1:3">
      <c r="A91">
        <v>1.3</v>
      </c>
      <c r="B91">
        <v>2.5</v>
      </c>
      <c r="C91" t="s">
        <v>13</v>
      </c>
    </row>
    <row r="92" spans="1:3">
      <c r="A92">
        <v>1.2</v>
      </c>
      <c r="B92">
        <v>2.6</v>
      </c>
      <c r="C92" t="s">
        <v>13</v>
      </c>
    </row>
    <row r="93" spans="1:3">
      <c r="A93">
        <v>1.4</v>
      </c>
      <c r="B93">
        <v>3</v>
      </c>
      <c r="C93" t="s">
        <v>13</v>
      </c>
    </row>
    <row r="94" spans="1:3">
      <c r="A94">
        <v>1.2</v>
      </c>
      <c r="B94">
        <v>2.6</v>
      </c>
      <c r="C94" t="s">
        <v>13</v>
      </c>
    </row>
    <row r="95" spans="1:3">
      <c r="A95">
        <v>1</v>
      </c>
      <c r="B95">
        <v>2.2999999999999998</v>
      </c>
      <c r="C95" t="s">
        <v>13</v>
      </c>
    </row>
    <row r="96" spans="1:3">
      <c r="A96">
        <v>1.3</v>
      </c>
      <c r="B96">
        <v>2.7</v>
      </c>
      <c r="C96" t="s">
        <v>13</v>
      </c>
    </row>
    <row r="97" spans="1:3">
      <c r="A97">
        <v>1.2</v>
      </c>
      <c r="B97">
        <v>3</v>
      </c>
      <c r="C97" t="s">
        <v>13</v>
      </c>
    </row>
    <row r="98" spans="1:3">
      <c r="A98">
        <v>1.3</v>
      </c>
      <c r="B98">
        <v>2.9</v>
      </c>
      <c r="C98" t="s">
        <v>13</v>
      </c>
    </row>
    <row r="99" spans="1:3">
      <c r="A99">
        <v>1.3</v>
      </c>
      <c r="B99">
        <v>2.9</v>
      </c>
      <c r="C99" t="s">
        <v>13</v>
      </c>
    </row>
    <row r="100" spans="1:3">
      <c r="A100">
        <v>1.1000000000000001</v>
      </c>
      <c r="B100">
        <v>2.5</v>
      </c>
      <c r="C100" t="s">
        <v>13</v>
      </c>
    </row>
    <row r="101" spans="1:3">
      <c r="A101">
        <v>1.3</v>
      </c>
      <c r="B101">
        <v>2.8</v>
      </c>
      <c r="C101" t="s">
        <v>13</v>
      </c>
    </row>
    <row r="102" spans="1:3">
      <c r="A102">
        <v>2.5</v>
      </c>
      <c r="B102">
        <v>3.3</v>
      </c>
      <c r="C102" t="s">
        <v>14</v>
      </c>
    </row>
    <row r="103" spans="1:3">
      <c r="A103">
        <v>1.9</v>
      </c>
      <c r="B103">
        <v>2.7</v>
      </c>
      <c r="C103" t="s">
        <v>14</v>
      </c>
    </row>
    <row r="104" spans="1:3">
      <c r="A104">
        <v>2.1</v>
      </c>
      <c r="B104">
        <v>3</v>
      </c>
      <c r="C104" t="s">
        <v>14</v>
      </c>
    </row>
    <row r="105" spans="1:3">
      <c r="A105">
        <v>1.8</v>
      </c>
      <c r="B105">
        <v>2.9</v>
      </c>
      <c r="C105" t="s">
        <v>14</v>
      </c>
    </row>
    <row r="106" spans="1:3">
      <c r="A106">
        <v>2.2000000000000002</v>
      </c>
      <c r="B106">
        <v>3</v>
      </c>
      <c r="C106" t="s">
        <v>14</v>
      </c>
    </row>
    <row r="107" spans="1:3">
      <c r="A107">
        <v>2.1</v>
      </c>
      <c r="B107">
        <v>3</v>
      </c>
      <c r="C107" t="s">
        <v>14</v>
      </c>
    </row>
    <row r="108" spans="1:3">
      <c r="A108">
        <v>1.7</v>
      </c>
      <c r="B108">
        <v>2.5</v>
      </c>
      <c r="C108" t="s">
        <v>14</v>
      </c>
    </row>
    <row r="109" spans="1:3">
      <c r="A109">
        <v>1.8</v>
      </c>
      <c r="B109">
        <v>2.9</v>
      </c>
      <c r="C109" t="s">
        <v>14</v>
      </c>
    </row>
    <row r="110" spans="1:3">
      <c r="A110">
        <v>1.8</v>
      </c>
      <c r="B110">
        <v>2.5</v>
      </c>
      <c r="C110" t="s">
        <v>14</v>
      </c>
    </row>
    <row r="111" spans="1:3">
      <c r="A111">
        <v>2.5</v>
      </c>
      <c r="B111">
        <v>3.6</v>
      </c>
      <c r="C111" t="s">
        <v>14</v>
      </c>
    </row>
    <row r="112" spans="1:3">
      <c r="A112">
        <v>2</v>
      </c>
      <c r="B112">
        <v>3.2</v>
      </c>
      <c r="C112" t="s">
        <v>14</v>
      </c>
    </row>
    <row r="113" spans="1:3">
      <c r="A113">
        <v>1.9</v>
      </c>
      <c r="B113">
        <v>2.7</v>
      </c>
      <c r="C113" t="s">
        <v>14</v>
      </c>
    </row>
    <row r="114" spans="1:3">
      <c r="A114">
        <v>2.1</v>
      </c>
      <c r="B114">
        <v>3</v>
      </c>
      <c r="C114" t="s">
        <v>14</v>
      </c>
    </row>
    <row r="115" spans="1:3">
      <c r="A115">
        <v>2</v>
      </c>
      <c r="B115">
        <v>2.5</v>
      </c>
      <c r="C115" t="s">
        <v>14</v>
      </c>
    </row>
    <row r="116" spans="1:3">
      <c r="A116">
        <v>2.4</v>
      </c>
      <c r="B116">
        <v>2.8</v>
      </c>
      <c r="C116" t="s">
        <v>14</v>
      </c>
    </row>
    <row r="117" spans="1:3">
      <c r="A117">
        <v>2.2999999999999998</v>
      </c>
      <c r="B117">
        <v>3.2</v>
      </c>
      <c r="C117" t="s">
        <v>14</v>
      </c>
    </row>
    <row r="118" spans="1:3">
      <c r="A118">
        <v>1.8</v>
      </c>
      <c r="B118">
        <v>3</v>
      </c>
      <c r="C118" t="s">
        <v>14</v>
      </c>
    </row>
    <row r="119" spans="1:3">
      <c r="A119">
        <v>2.2000000000000002</v>
      </c>
      <c r="B119">
        <v>3.8</v>
      </c>
      <c r="C119" t="s">
        <v>14</v>
      </c>
    </row>
    <row r="120" spans="1:3">
      <c r="A120">
        <v>2.2999999999999998</v>
      </c>
      <c r="B120">
        <v>2.6</v>
      </c>
      <c r="C120" t="s">
        <v>14</v>
      </c>
    </row>
    <row r="121" spans="1:3">
      <c r="A121">
        <v>1.5</v>
      </c>
      <c r="B121">
        <v>2.2000000000000002</v>
      </c>
      <c r="C121" t="s">
        <v>14</v>
      </c>
    </row>
    <row r="122" spans="1:3">
      <c r="A122">
        <v>2.2999999999999998</v>
      </c>
      <c r="B122">
        <v>3.2</v>
      </c>
      <c r="C122" t="s">
        <v>14</v>
      </c>
    </row>
    <row r="123" spans="1:3">
      <c r="A123">
        <v>2</v>
      </c>
      <c r="B123">
        <v>2.8</v>
      </c>
      <c r="C123" t="s">
        <v>14</v>
      </c>
    </row>
    <row r="124" spans="1:3">
      <c r="A124">
        <v>2</v>
      </c>
      <c r="B124">
        <v>2.8</v>
      </c>
      <c r="C124" t="s">
        <v>14</v>
      </c>
    </row>
    <row r="125" spans="1:3">
      <c r="A125">
        <v>1.8</v>
      </c>
      <c r="B125">
        <v>2.7</v>
      </c>
      <c r="C125" t="s">
        <v>14</v>
      </c>
    </row>
    <row r="126" spans="1:3">
      <c r="A126">
        <v>2.1</v>
      </c>
      <c r="B126">
        <v>3.3</v>
      </c>
      <c r="C126" t="s">
        <v>14</v>
      </c>
    </row>
    <row r="127" spans="1:3">
      <c r="A127">
        <v>1.8</v>
      </c>
      <c r="B127">
        <v>3.2</v>
      </c>
      <c r="C127" t="s">
        <v>14</v>
      </c>
    </row>
    <row r="128" spans="1:3">
      <c r="A128">
        <v>1.8</v>
      </c>
      <c r="B128">
        <v>2.8</v>
      </c>
      <c r="C128" t="s">
        <v>14</v>
      </c>
    </row>
    <row r="129" spans="1:3">
      <c r="A129">
        <v>1.8</v>
      </c>
      <c r="B129">
        <v>3</v>
      </c>
      <c r="C129" t="s">
        <v>14</v>
      </c>
    </row>
    <row r="130" spans="1:3">
      <c r="A130">
        <v>2.1</v>
      </c>
      <c r="B130">
        <v>2.8</v>
      </c>
      <c r="C130" t="s">
        <v>14</v>
      </c>
    </row>
    <row r="131" spans="1:3">
      <c r="A131">
        <v>1.6</v>
      </c>
      <c r="B131">
        <v>3</v>
      </c>
      <c r="C131" t="s">
        <v>14</v>
      </c>
    </row>
    <row r="132" spans="1:3">
      <c r="A132">
        <v>1.9</v>
      </c>
      <c r="B132">
        <v>2.8</v>
      </c>
      <c r="C132" t="s">
        <v>14</v>
      </c>
    </row>
    <row r="133" spans="1:3">
      <c r="A133">
        <v>2</v>
      </c>
      <c r="B133">
        <v>3.8</v>
      </c>
      <c r="C133" t="s">
        <v>14</v>
      </c>
    </row>
    <row r="134" spans="1:3">
      <c r="A134">
        <v>2.2000000000000002</v>
      </c>
      <c r="B134">
        <v>2.8</v>
      </c>
      <c r="C134" t="s">
        <v>14</v>
      </c>
    </row>
    <row r="135" spans="1:3">
      <c r="A135">
        <v>1.5</v>
      </c>
      <c r="B135">
        <v>2.8</v>
      </c>
      <c r="C135" t="s">
        <v>14</v>
      </c>
    </row>
    <row r="136" spans="1:3">
      <c r="A136">
        <v>1.4</v>
      </c>
      <c r="B136">
        <v>2.6</v>
      </c>
      <c r="C136" t="s">
        <v>14</v>
      </c>
    </row>
    <row r="137" spans="1:3">
      <c r="A137">
        <v>2.2999999999999998</v>
      </c>
      <c r="B137">
        <v>3</v>
      </c>
      <c r="C137" t="s">
        <v>14</v>
      </c>
    </row>
    <row r="138" spans="1:3">
      <c r="A138">
        <v>2.4</v>
      </c>
      <c r="B138">
        <v>3.4</v>
      </c>
      <c r="C138" t="s">
        <v>14</v>
      </c>
    </row>
    <row r="139" spans="1:3">
      <c r="A139">
        <v>1.8</v>
      </c>
      <c r="B139">
        <v>3.1</v>
      </c>
      <c r="C139" t="s">
        <v>14</v>
      </c>
    </row>
    <row r="140" spans="1:3">
      <c r="A140">
        <v>1.8</v>
      </c>
      <c r="B140">
        <v>3</v>
      </c>
      <c r="C140" t="s">
        <v>14</v>
      </c>
    </row>
    <row r="141" spans="1:3">
      <c r="A141">
        <v>2.1</v>
      </c>
      <c r="B141">
        <v>3.1</v>
      </c>
      <c r="C141" t="s">
        <v>14</v>
      </c>
    </row>
    <row r="142" spans="1:3">
      <c r="A142">
        <v>2.4</v>
      </c>
      <c r="B142">
        <v>3.1</v>
      </c>
      <c r="C142" t="s">
        <v>14</v>
      </c>
    </row>
    <row r="143" spans="1:3">
      <c r="A143">
        <v>2.2999999999999998</v>
      </c>
      <c r="B143">
        <v>3.1</v>
      </c>
      <c r="C143" t="s">
        <v>14</v>
      </c>
    </row>
    <row r="144" spans="1:3">
      <c r="A144">
        <v>1.9</v>
      </c>
      <c r="B144">
        <v>2.7</v>
      </c>
      <c r="C144" t="s">
        <v>14</v>
      </c>
    </row>
    <row r="145" spans="1:3">
      <c r="A145">
        <v>2.2999999999999998</v>
      </c>
      <c r="B145">
        <v>3.2</v>
      </c>
      <c r="C145" t="s">
        <v>14</v>
      </c>
    </row>
    <row r="146" spans="1:3">
      <c r="A146">
        <v>2.5</v>
      </c>
      <c r="B146">
        <v>3.3</v>
      </c>
      <c r="C146" t="s">
        <v>14</v>
      </c>
    </row>
    <row r="147" spans="1:3">
      <c r="A147">
        <v>2.2999999999999998</v>
      </c>
      <c r="B147">
        <v>3</v>
      </c>
      <c r="C147" t="s">
        <v>14</v>
      </c>
    </row>
    <row r="148" spans="1:3">
      <c r="A148">
        <v>1.9</v>
      </c>
      <c r="B148">
        <v>2.5</v>
      </c>
      <c r="C148" t="s">
        <v>14</v>
      </c>
    </row>
    <row r="149" spans="1:3">
      <c r="A149">
        <v>2</v>
      </c>
      <c r="B149">
        <v>3</v>
      </c>
      <c r="C149" t="s">
        <v>14</v>
      </c>
    </row>
    <row r="150" spans="1:3">
      <c r="A150">
        <v>2.2999999999999998</v>
      </c>
      <c r="B150">
        <v>3.4</v>
      </c>
      <c r="C150" t="s">
        <v>14</v>
      </c>
    </row>
    <row r="151" spans="1:3">
      <c r="A151">
        <v>1.8</v>
      </c>
      <c r="B151">
        <v>3</v>
      </c>
      <c r="C151" t="s">
        <v>14</v>
      </c>
    </row>
    <row r="152" spans="1:3">
      <c r="A152" s="4">
        <f>MAX(A2:A151)</f>
        <v>2.5</v>
      </c>
      <c r="B152" s="4">
        <f>MAX(B2:B151)</f>
        <v>4.4000000000000004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DE8C-7A83-4B9E-9BF1-411CA7301D57}">
  <dimension ref="A1:H8"/>
  <sheetViews>
    <sheetView workbookViewId="0">
      <selection activeCell="F8" sqref="F8"/>
    </sheetView>
  </sheetViews>
  <sheetFormatPr defaultRowHeight="14"/>
  <cols>
    <col min="1" max="1" width="23.1796875" customWidth="1"/>
    <col min="3" max="3" width="13.81640625" customWidth="1"/>
    <col min="7" max="7" width="19.7265625" customWidth="1"/>
  </cols>
  <sheetData>
    <row r="1" spans="1:8">
      <c r="A1" s="1"/>
      <c r="B1" s="1"/>
      <c r="C1" s="1"/>
      <c r="D1" s="1"/>
      <c r="E1" s="1"/>
      <c r="F1" s="1"/>
    </row>
    <row r="2" spans="1:8" ht="14.5" customHeight="1">
      <c r="A2" s="2" t="s">
        <v>0</v>
      </c>
      <c r="B2" s="2" t="s">
        <v>1</v>
      </c>
      <c r="C2" s="2" t="s">
        <v>2</v>
      </c>
      <c r="D2" s="2"/>
      <c r="E2" s="2" t="s">
        <v>3</v>
      </c>
      <c r="F2" s="2" t="s">
        <v>4</v>
      </c>
      <c r="G2" s="2" t="s">
        <v>29</v>
      </c>
    </row>
    <row r="3" spans="1:8" ht="14.5" customHeight="1">
      <c r="A3" s="2" t="s">
        <v>5</v>
      </c>
      <c r="B3" s="2" t="s">
        <v>1</v>
      </c>
      <c r="C3" s="2" t="s">
        <v>2</v>
      </c>
      <c r="D3" s="2"/>
      <c r="E3" s="2" t="s">
        <v>3</v>
      </c>
      <c r="F3" s="2" t="s">
        <v>4</v>
      </c>
    </row>
    <row r="4" spans="1:8" ht="14.5" customHeight="1">
      <c r="A4" s="2" t="s">
        <v>6</v>
      </c>
      <c r="B4" s="2" t="s">
        <v>1</v>
      </c>
      <c r="C4" s="2" t="s">
        <v>2</v>
      </c>
      <c r="D4" s="2"/>
      <c r="E4" s="2" t="s">
        <v>3</v>
      </c>
      <c r="F4" s="2" t="s">
        <v>4</v>
      </c>
      <c r="G4" s="2" t="s">
        <v>30</v>
      </c>
    </row>
    <row r="5" spans="1:8" ht="14.5" customHeight="1">
      <c r="A5" s="2" t="s">
        <v>7</v>
      </c>
      <c r="B5" s="2" t="s">
        <v>1</v>
      </c>
      <c r="C5" s="2" t="s">
        <v>2</v>
      </c>
      <c r="D5" s="2"/>
      <c r="E5" s="2" t="s">
        <v>3</v>
      </c>
      <c r="F5" s="2" t="s">
        <v>4</v>
      </c>
    </row>
    <row r="6" spans="1:8" ht="41.5" customHeight="1">
      <c r="A6" s="2" t="s">
        <v>8</v>
      </c>
      <c r="B6" s="2" t="s">
        <v>9</v>
      </c>
      <c r="C6" s="2" t="s">
        <v>10</v>
      </c>
      <c r="D6" s="25" t="s">
        <v>11</v>
      </c>
      <c r="E6" s="25"/>
      <c r="F6" s="25"/>
      <c r="G6" s="25"/>
      <c r="H6" s="25"/>
    </row>
    <row r="8" spans="1:8" ht="33">
      <c r="A8" s="2" t="s">
        <v>0</v>
      </c>
      <c r="B8" s="2" t="s">
        <v>5</v>
      </c>
      <c r="C8" s="2" t="s">
        <v>6</v>
      </c>
      <c r="D8" s="2" t="s">
        <v>7</v>
      </c>
    </row>
  </sheetData>
  <mergeCells count="1">
    <mergeCell ref="D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B91F-B59A-474A-8EAC-1E4E23F55551}">
  <dimension ref="A1:V21"/>
  <sheetViews>
    <sheetView tabSelected="1" topLeftCell="A8" workbookViewId="0">
      <selection activeCell="R27" sqref="R27"/>
    </sheetView>
  </sheetViews>
  <sheetFormatPr defaultRowHeight="14"/>
  <cols>
    <col min="2" max="2" width="9" customWidth="1"/>
    <col min="4" max="4" width="10.90625" bestFit="1" customWidth="1"/>
    <col min="21" max="21" width="10.36328125" bestFit="1" customWidth="1"/>
  </cols>
  <sheetData>
    <row r="1" spans="1:22">
      <c r="A1" t="s">
        <v>15</v>
      </c>
      <c r="B1" s="9" t="s">
        <v>23</v>
      </c>
      <c r="C1" s="9" t="s">
        <v>24</v>
      </c>
      <c r="D1" s="9" t="s">
        <v>25</v>
      </c>
    </row>
    <row r="2" spans="1:22">
      <c r="B2" s="8">
        <v>1.8</v>
      </c>
      <c r="C2" s="8">
        <v>2.7</v>
      </c>
      <c r="D2" s="8" t="s">
        <v>14</v>
      </c>
    </row>
    <row r="3" spans="1:22">
      <c r="B3" s="8">
        <v>2.1</v>
      </c>
      <c r="C3" s="8">
        <v>3.3</v>
      </c>
      <c r="D3" s="8" t="s">
        <v>14</v>
      </c>
    </row>
    <row r="4" spans="1:22">
      <c r="B4" s="8">
        <v>0.2</v>
      </c>
      <c r="C4" s="8">
        <v>3</v>
      </c>
      <c r="D4" s="8" t="s">
        <v>12</v>
      </c>
      <c r="L4" t="s">
        <v>18</v>
      </c>
      <c r="U4" t="s">
        <v>22</v>
      </c>
    </row>
    <row r="5" spans="1:22">
      <c r="J5" t="s">
        <v>21</v>
      </c>
      <c r="L5" s="5">
        <v>-1.0137</v>
      </c>
      <c r="M5" s="4">
        <f>J8*L5</f>
        <v>-0.53276017200000003</v>
      </c>
      <c r="P5" t="s">
        <v>19</v>
      </c>
      <c r="Q5" t="s">
        <v>20</v>
      </c>
      <c r="S5" t="s">
        <v>26</v>
      </c>
      <c r="V5" t="s">
        <v>26</v>
      </c>
    </row>
    <row r="6" spans="1:22" ht="28">
      <c r="A6" t="s">
        <v>32</v>
      </c>
      <c r="B6" s="6" t="s">
        <v>16</v>
      </c>
      <c r="D6" t="s">
        <v>18</v>
      </c>
      <c r="G6" t="s">
        <v>19</v>
      </c>
      <c r="H6" s="3" t="s">
        <v>20</v>
      </c>
      <c r="P6" s="12">
        <f>M5+M12</f>
        <v>2.809817228</v>
      </c>
      <c r="Q6" s="18">
        <v>0.498</v>
      </c>
      <c r="S6" s="15">
        <f>P6+Q6</f>
        <v>3.3078172280000002</v>
      </c>
      <c r="U6" s="13">
        <f>EXP(S6)/(EXP(S6)+EXP(S9)+EXP(S13))</f>
        <v>0.92990523303140271</v>
      </c>
    </row>
    <row r="7" spans="1:22" ht="14.5" thickBot="1">
      <c r="B7" t="s">
        <v>41</v>
      </c>
      <c r="D7" s="5">
        <v>1.6593</v>
      </c>
      <c r="E7" s="4">
        <f>B8*D7</f>
        <v>0.33186000000000004</v>
      </c>
      <c r="G7" s="10">
        <f>E7+E12+H7</f>
        <v>0.52556000000000003</v>
      </c>
      <c r="H7" s="7">
        <v>-0.1477</v>
      </c>
      <c r="L7" s="5">
        <v>0.66479999999999995</v>
      </c>
      <c r="M7" s="4">
        <f>J8*L7</f>
        <v>0.349392288</v>
      </c>
    </row>
    <row r="8" spans="1:22" ht="38.5" customHeight="1" thickBot="1">
      <c r="B8" s="22">
        <v>0.2</v>
      </c>
      <c r="J8" s="11">
        <f>MAX(G7,0)</f>
        <v>0.52556000000000003</v>
      </c>
      <c r="S8" t="s">
        <v>27</v>
      </c>
      <c r="V8" t="s">
        <v>27</v>
      </c>
    </row>
    <row r="9" spans="1:22">
      <c r="D9" s="5">
        <v>-1.1855</v>
      </c>
      <c r="E9" s="4">
        <f>B8*D9</f>
        <v>-0.23710000000000001</v>
      </c>
      <c r="P9" s="26">
        <f>M7+M14</f>
        <v>0.23948728799999999</v>
      </c>
      <c r="Q9" s="27">
        <v>0.44140000000000001</v>
      </c>
      <c r="S9" s="28">
        <f>P9+Q9</f>
        <v>0.68088728799999998</v>
      </c>
      <c r="U9" s="29">
        <f>EXP(S9)/(EXP(S6)+EXP(S9)+EXP(S13))</f>
        <v>6.7232229686843725E-2</v>
      </c>
    </row>
    <row r="10" spans="1:22">
      <c r="L10" s="5">
        <v>1.2424999999999999</v>
      </c>
      <c r="M10" s="4">
        <f>J8*L10</f>
        <v>0.65300829999999999</v>
      </c>
      <c r="P10" s="26"/>
      <c r="Q10" s="27"/>
      <c r="S10" s="28"/>
      <c r="U10" s="29"/>
    </row>
    <row r="11" spans="1:22" ht="28">
      <c r="A11" t="s">
        <v>31</v>
      </c>
      <c r="B11" s="6" t="s">
        <v>17</v>
      </c>
    </row>
    <row r="12" spans="1:22" ht="14.5" thickBot="1">
      <c r="D12" s="5">
        <v>0.1138</v>
      </c>
      <c r="E12" s="4">
        <f>B13*D12</f>
        <v>0.34139999999999998</v>
      </c>
      <c r="L12" s="5">
        <v>1.1405000000000001</v>
      </c>
      <c r="M12" s="4">
        <f>J13*L12</f>
        <v>3.3425774000000001</v>
      </c>
      <c r="S12" t="s">
        <v>28</v>
      </c>
      <c r="V12" t="s">
        <v>28</v>
      </c>
    </row>
    <row r="13" spans="1:22" ht="36" customHeight="1" thickBot="1">
      <c r="B13" s="22">
        <v>3</v>
      </c>
      <c r="J13" s="11">
        <f>MAX(G14,0)</f>
        <v>2.9308000000000001</v>
      </c>
      <c r="P13" s="12">
        <f>M10+M16</f>
        <v>-2.4952570600000001</v>
      </c>
      <c r="Q13" s="18">
        <v>1.9699999999999999E-2</v>
      </c>
      <c r="S13" s="16">
        <f>P13+Q13</f>
        <v>-2.4755570600000003</v>
      </c>
      <c r="U13" s="14">
        <f>EXP(S13)/(EXP(S6)+EXP(S9)+EXP(S13))</f>
        <v>2.8625372817535195E-3</v>
      </c>
    </row>
    <row r="14" spans="1:22">
      <c r="D14" s="5">
        <v>1.012</v>
      </c>
      <c r="E14" s="4">
        <f>B13*D14</f>
        <v>3.036</v>
      </c>
      <c r="G14" s="10">
        <f>E9+E14+H14</f>
        <v>2.9308000000000001</v>
      </c>
      <c r="H14" s="7">
        <v>0.13189999999999999</v>
      </c>
      <c r="L14" s="5">
        <v>-3.7499999999999999E-2</v>
      </c>
      <c r="M14" s="4">
        <f>J13*L14</f>
        <v>-0.109905</v>
      </c>
    </row>
    <row r="16" spans="1:22" ht="18.5" customHeight="1">
      <c r="L16" s="5">
        <v>-1.0742</v>
      </c>
      <c r="M16" s="4">
        <f>L16*J13</f>
        <v>-3.1482653600000003</v>
      </c>
    </row>
    <row r="17" spans="2:16">
      <c r="B17" s="19"/>
      <c r="D17" t="s">
        <v>38</v>
      </c>
      <c r="F17" t="s">
        <v>39</v>
      </c>
      <c r="G17" t="s">
        <v>36</v>
      </c>
      <c r="H17" t="s">
        <v>20</v>
      </c>
      <c r="I17" t="s">
        <v>21</v>
      </c>
      <c r="J17" t="s">
        <v>37</v>
      </c>
      <c r="L17" t="s">
        <v>40</v>
      </c>
      <c r="N17" t="s">
        <v>20</v>
      </c>
    </row>
    <row r="18" spans="2:16">
      <c r="B18" s="19"/>
      <c r="D18" s="5">
        <v>1.6593</v>
      </c>
      <c r="E18" s="5">
        <v>0.1138</v>
      </c>
      <c r="F18" s="24">
        <f>B8</f>
        <v>0.2</v>
      </c>
      <c r="G18" s="4">
        <f t="array" ref="G18:G19">MMULT(D18:E19,F18:F19)</f>
        <v>0.67325999999999997</v>
      </c>
      <c r="H18" s="7">
        <v>-0.1477</v>
      </c>
      <c r="I18">
        <f>MAX(G18+H18,0)</f>
        <v>0.52556000000000003</v>
      </c>
      <c r="J18" s="5">
        <v>-1.0137</v>
      </c>
      <c r="K18" s="5">
        <v>1.1405000000000001</v>
      </c>
      <c r="L18" s="4">
        <f>I18</f>
        <v>0.52556000000000003</v>
      </c>
      <c r="M18" s="21">
        <f t="array" ref="M18:M20">MMULT(J18:K20,L18:L19)</f>
        <v>2.809817228</v>
      </c>
      <c r="N18" s="7">
        <v>0.498</v>
      </c>
      <c r="O18" s="20">
        <f>M18+N18</f>
        <v>3.3078172280000002</v>
      </c>
      <c r="P18" s="23">
        <f>EXP(O18)/(EXP($O$18)+EXP($O$19)+EXP($O$20))</f>
        <v>0.92990523303140271</v>
      </c>
    </row>
    <row r="19" spans="2:16">
      <c r="B19" s="19"/>
      <c r="D19" s="5">
        <v>-1.1855</v>
      </c>
      <c r="E19" s="5">
        <v>1.012</v>
      </c>
      <c r="F19" s="24">
        <f>B13</f>
        <v>3</v>
      </c>
      <c r="G19" s="4">
        <v>2.7989000000000002</v>
      </c>
      <c r="H19" s="7">
        <v>0.13189999999999999</v>
      </c>
      <c r="I19">
        <f>MAX(G19+H19,0)</f>
        <v>2.9308000000000001</v>
      </c>
      <c r="J19" s="5">
        <v>0.66479999999999995</v>
      </c>
      <c r="K19" s="5">
        <v>-3.7499999999999999E-2</v>
      </c>
      <c r="L19" s="4">
        <f>I19</f>
        <v>2.9308000000000001</v>
      </c>
      <c r="M19" s="21">
        <v>0.23948728799999999</v>
      </c>
      <c r="N19" s="7">
        <v>0.44140000000000001</v>
      </c>
      <c r="O19" s="20">
        <f t="shared" ref="O19:O20" si="0">M19+N19</f>
        <v>0.68088728799999998</v>
      </c>
      <c r="P19" s="23">
        <f t="shared" ref="P19:P20" si="1">EXP(O19)/(EXP($O$18)+EXP($O$19)+EXP($O$20))</f>
        <v>6.7232229686843725E-2</v>
      </c>
    </row>
    <row r="20" spans="2:16">
      <c r="B20" s="19"/>
      <c r="J20" s="5">
        <v>1.2424999999999999</v>
      </c>
      <c r="K20" s="5">
        <v>-1.0742</v>
      </c>
      <c r="M20" s="21">
        <v>-2.4952570600000001</v>
      </c>
      <c r="N20" s="7">
        <v>1.9699999999999999E-2</v>
      </c>
      <c r="O20" s="20">
        <f t="shared" si="0"/>
        <v>-2.4755570600000003</v>
      </c>
      <c r="P20" s="23">
        <f t="shared" si="1"/>
        <v>2.8625372817535195E-3</v>
      </c>
    </row>
    <row r="21" spans="2:16">
      <c r="B21" s="19"/>
    </row>
  </sheetData>
  <mergeCells count="4">
    <mergeCell ref="P9:P10"/>
    <mergeCell ref="Q9:Q10"/>
    <mergeCell ref="S9:S10"/>
    <mergeCell ref="U9:U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5AAB-71F3-452F-B67B-2DE593FC2E6D}">
  <dimension ref="A1"/>
  <sheetViews>
    <sheetView workbookViewId="0">
      <selection activeCell="I20" sqref="I20"/>
    </sheetView>
  </sheetViews>
  <sheetFormatPr defaultRowHeight="1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 (4 zmienne)</vt:lpstr>
      <vt:lpstr>Dane (2 zmienne) </vt:lpstr>
      <vt:lpstr>Opis danych</vt:lpstr>
      <vt:lpstr>Sieć (Iris_2025)</vt:lpstr>
      <vt:lpstr>Wagi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Urszula Grzybowska</dc:creator>
  <cp:lastModifiedBy>Urszula Grzybowska</cp:lastModifiedBy>
  <dcterms:created xsi:type="dcterms:W3CDTF">2024-04-29T13:38:04Z</dcterms:created>
  <dcterms:modified xsi:type="dcterms:W3CDTF">2025-03-12T20:53:02Z</dcterms:modified>
</cp:coreProperties>
</file>