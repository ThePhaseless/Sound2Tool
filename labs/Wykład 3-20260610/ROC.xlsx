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gwpl-my.sharepoint.com/personal/p489000_sggw_edu_pl/Documents/Pulpit/DeepLearning2025/Wykład3/"/>
    </mc:Choice>
  </mc:AlternateContent>
  <xr:revisionPtr revIDLastSave="4" documentId="8_{7B76197B-34FB-4444-A22B-15577B688956}" xr6:coauthVersionLast="47" xr6:coauthVersionMax="47" xr10:uidLastSave="{DD96E922-5248-4AF8-9504-D5D7FF52F917}"/>
  <bookViews>
    <workbookView xWindow="-110" yWindow="-110" windowWidth="19420" windowHeight="11500" xr2:uid="{B9A9C7B3-0D51-4716-ABA8-C437D7479639}"/>
  </bookViews>
  <sheets>
    <sheet name="Arkusz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" i="1" l="1"/>
  <c r="Q12" i="1"/>
  <c r="Q13" i="1"/>
  <c r="Q15" i="1"/>
  <c r="Q17" i="1"/>
  <c r="Q18" i="1"/>
  <c r="Q19" i="1"/>
  <c r="Q24" i="1"/>
  <c r="P7" i="1"/>
  <c r="P9" i="1"/>
  <c r="P10" i="1"/>
  <c r="P11" i="1"/>
  <c r="P12" i="1"/>
  <c r="P18" i="1"/>
  <c r="P21" i="1"/>
  <c r="P23" i="1"/>
  <c r="P24" i="1"/>
  <c r="K55" i="1"/>
  <c r="K54" i="1"/>
  <c r="K53" i="1"/>
  <c r="K52" i="1"/>
  <c r="M51" i="1"/>
  <c r="K51" i="1"/>
  <c r="M50" i="1"/>
  <c r="K50" i="1"/>
  <c r="M49" i="1"/>
  <c r="L49" i="1"/>
  <c r="K49" i="1"/>
  <c r="M48" i="1"/>
  <c r="L48" i="1"/>
  <c r="K48" i="1"/>
  <c r="M47" i="1"/>
  <c r="L47" i="1"/>
  <c r="K47" i="1"/>
  <c r="M46" i="1"/>
  <c r="L46" i="1"/>
  <c r="K46" i="1"/>
  <c r="M45" i="1"/>
  <c r="L45" i="1"/>
  <c r="K45" i="1"/>
  <c r="M44" i="1"/>
  <c r="L44" i="1"/>
  <c r="K44" i="1"/>
  <c r="M43" i="1"/>
  <c r="L43" i="1"/>
  <c r="K43" i="1"/>
  <c r="M42" i="1"/>
  <c r="L42" i="1"/>
  <c r="K42" i="1"/>
  <c r="M41" i="1"/>
  <c r="L41" i="1"/>
  <c r="K41" i="1"/>
  <c r="M40" i="1"/>
  <c r="L40" i="1"/>
  <c r="K40" i="1"/>
  <c r="M39" i="1"/>
  <c r="L39" i="1"/>
  <c r="K39" i="1"/>
  <c r="M38" i="1"/>
  <c r="L38" i="1"/>
  <c r="K38" i="1"/>
  <c r="M37" i="1"/>
  <c r="L37" i="1"/>
  <c r="K37" i="1"/>
  <c r="M36" i="1"/>
  <c r="L36" i="1"/>
  <c r="K36" i="1"/>
  <c r="M35" i="1"/>
  <c r="L35" i="1"/>
  <c r="K35" i="1"/>
  <c r="M34" i="1"/>
  <c r="L34" i="1"/>
  <c r="K34" i="1"/>
  <c r="M33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L28" i="1"/>
  <c r="K28" i="1"/>
  <c r="M27" i="1"/>
  <c r="L27" i="1"/>
  <c r="K27" i="1"/>
  <c r="M26" i="1"/>
  <c r="L26" i="1"/>
  <c r="K26" i="1"/>
  <c r="M25" i="1"/>
  <c r="L25" i="1"/>
  <c r="K25" i="1"/>
  <c r="O24" i="1"/>
  <c r="N24" i="1"/>
  <c r="M24" i="1"/>
  <c r="L24" i="1"/>
  <c r="K24" i="1"/>
  <c r="O23" i="1"/>
  <c r="N23" i="1"/>
  <c r="Q23" i="1" s="1"/>
  <c r="M23" i="1"/>
  <c r="L23" i="1"/>
  <c r="K23" i="1"/>
  <c r="O22" i="1"/>
  <c r="P22" i="1" s="1"/>
  <c r="N22" i="1"/>
  <c r="Q22" i="1" s="1"/>
  <c r="M22" i="1"/>
  <c r="L22" i="1"/>
  <c r="K22" i="1"/>
  <c r="O21" i="1"/>
  <c r="N21" i="1"/>
  <c r="Q21" i="1" s="1"/>
  <c r="M21" i="1"/>
  <c r="L21" i="1"/>
  <c r="K21" i="1"/>
  <c r="O20" i="1"/>
  <c r="P20" i="1" s="1"/>
  <c r="N20" i="1"/>
  <c r="Q20" i="1" s="1"/>
  <c r="M20" i="1"/>
  <c r="L20" i="1"/>
  <c r="K20" i="1"/>
  <c r="O19" i="1"/>
  <c r="P19" i="1" s="1"/>
  <c r="N19" i="1"/>
  <c r="M19" i="1"/>
  <c r="L19" i="1"/>
  <c r="K19" i="1"/>
  <c r="O18" i="1"/>
  <c r="N18" i="1"/>
  <c r="M18" i="1"/>
  <c r="L18" i="1"/>
  <c r="K18" i="1"/>
  <c r="O17" i="1"/>
  <c r="P17" i="1" s="1"/>
  <c r="N17" i="1"/>
  <c r="M17" i="1"/>
  <c r="L17" i="1"/>
  <c r="K17" i="1"/>
  <c r="O16" i="1"/>
  <c r="P16" i="1" s="1"/>
  <c r="N16" i="1"/>
  <c r="Q16" i="1" s="1"/>
  <c r="M16" i="1"/>
  <c r="L16" i="1"/>
  <c r="K16" i="1"/>
  <c r="O15" i="1"/>
  <c r="P15" i="1" s="1"/>
  <c r="N15" i="1"/>
  <c r="M15" i="1"/>
  <c r="L15" i="1"/>
  <c r="K15" i="1"/>
  <c r="O14" i="1"/>
  <c r="P14" i="1" s="1"/>
  <c r="N14" i="1"/>
  <c r="Q14" i="1" s="1"/>
  <c r="M14" i="1"/>
  <c r="L14" i="1"/>
  <c r="K14" i="1"/>
  <c r="O13" i="1"/>
  <c r="P13" i="1" s="1"/>
  <c r="N13" i="1"/>
  <c r="M13" i="1"/>
  <c r="L13" i="1"/>
  <c r="K13" i="1"/>
  <c r="O12" i="1"/>
  <c r="N12" i="1"/>
  <c r="M12" i="1"/>
  <c r="L12" i="1"/>
  <c r="K12" i="1"/>
  <c r="O11" i="1"/>
  <c r="N11" i="1"/>
  <c r="Q11" i="1" s="1"/>
  <c r="M11" i="1"/>
  <c r="L11" i="1"/>
  <c r="K11" i="1"/>
  <c r="O10" i="1"/>
  <c r="N10" i="1"/>
  <c r="M10" i="1"/>
  <c r="L10" i="1"/>
  <c r="K10" i="1"/>
  <c r="O9" i="1"/>
  <c r="N9" i="1"/>
  <c r="Q9" i="1" s="1"/>
  <c r="M9" i="1"/>
  <c r="L9" i="1"/>
  <c r="K9" i="1"/>
  <c r="O8" i="1"/>
  <c r="P8" i="1" s="1"/>
  <c r="N8" i="1"/>
  <c r="Q8" i="1" s="1"/>
  <c r="M8" i="1"/>
  <c r="L8" i="1"/>
  <c r="K8" i="1"/>
  <c r="O7" i="1"/>
  <c r="N7" i="1"/>
  <c r="Q7" i="1" s="1"/>
  <c r="M7" i="1"/>
  <c r="L7" i="1"/>
  <c r="K7" i="1"/>
  <c r="O6" i="1"/>
  <c r="P6" i="1" s="1"/>
  <c r="N6" i="1"/>
  <c r="Q6" i="1" s="1"/>
  <c r="M6" i="1"/>
  <c r="L6" i="1"/>
  <c r="K6" i="1"/>
  <c r="O5" i="1"/>
  <c r="P5" i="1" s="1"/>
  <c r="N5" i="1"/>
  <c r="Q5" i="1" s="1"/>
  <c r="M5" i="1"/>
  <c r="L5" i="1"/>
  <c r="K5" i="1"/>
</calcChain>
</file>

<file path=xl/sharedStrings.xml><?xml version="1.0" encoding="utf-8"?>
<sst xmlns="http://schemas.openxmlformats.org/spreadsheetml/2006/main" count="30" uniqueCount="27">
  <si>
    <t>Classification Table</t>
  </si>
  <si>
    <t>Prob</t>
  </si>
  <si>
    <t xml:space="preserve">Correct </t>
  </si>
  <si>
    <t>Incorrect</t>
  </si>
  <si>
    <t>Percentages</t>
  </si>
  <si>
    <t>Level</t>
  </si>
  <si>
    <t>Event TP</t>
  </si>
  <si>
    <t>Non-</t>
  </si>
  <si>
    <t>Event FP</t>
  </si>
  <si>
    <t>Correct/Accuracy</t>
  </si>
  <si>
    <t>Sensi-</t>
  </si>
  <si>
    <t>Speci-</t>
  </si>
  <si>
    <t>Pos</t>
  </si>
  <si>
    <t>Neg</t>
  </si>
  <si>
    <t>Event TN</t>
  </si>
  <si>
    <t>Event FN</t>
  </si>
  <si>
    <t>tivity</t>
  </si>
  <si>
    <t>ficity</t>
  </si>
  <si>
    <t>Pred</t>
  </si>
  <si>
    <t>suma</t>
  </si>
  <si>
    <t>Accuracy</t>
  </si>
  <si>
    <t>Recall</t>
  </si>
  <si>
    <t>Sensitivity/czułość</t>
  </si>
  <si>
    <t>specyficzność</t>
  </si>
  <si>
    <t>.</t>
  </si>
  <si>
    <t>1-specyficzność</t>
  </si>
  <si>
    <t>czułość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</si>
</sst>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rgb="FF000000"/>
      <name val="Arial"/>
      <family val="2"/>
      <charset val="238"/>
    </font>
    <font>
      <b/>
      <sz val="11"/>
      <color theme="1"/>
      <name val="Times New Roman"/>
      <family val="2"/>
      <charset val="238"/>
    </font>
    <font>
      <sz val="11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1C1C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3" fillId="2" borderId="0" xfId="0" applyFont="1" applyFill="1" applyAlignment="1">
      <alignment vertical="top" wrapText="1"/>
    </xf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Arkusz1!$P$5:$P$24</c:f>
              <c:numCache>
                <c:formatCode>General</c:formatCode>
                <c:ptCount val="20"/>
                <c:pt idx="0">
                  <c:v>1</c:v>
                </c:pt>
                <c:pt idx="1">
                  <c:v>0.77951617811137031</c:v>
                </c:pt>
                <c:pt idx="2">
                  <c:v>0.52203570341819661</c:v>
                </c:pt>
                <c:pt idx="3">
                  <c:v>0.34143929404604934</c:v>
                </c:pt>
                <c:pt idx="4">
                  <c:v>0.22738107313114919</c:v>
                </c:pt>
                <c:pt idx="5">
                  <c:v>0.15168881225276398</c:v>
                </c:pt>
                <c:pt idx="6">
                  <c:v>0.10345876863779291</c:v>
                </c:pt>
                <c:pt idx="7">
                  <c:v>7.2522568211786154E-2</c:v>
                </c:pt>
                <c:pt idx="8">
                  <c:v>4.9142915102951656E-2</c:v>
                </c:pt>
                <c:pt idx="9">
                  <c:v>3.339588193528753E-2</c:v>
                </c:pt>
                <c:pt idx="10">
                  <c:v>2.2948574906177077E-2</c:v>
                </c:pt>
                <c:pt idx="11">
                  <c:v>1.6659904655644597E-2</c:v>
                </c:pt>
                <c:pt idx="12">
                  <c:v>1.2044832133076389E-2</c:v>
                </c:pt>
                <c:pt idx="13">
                  <c:v>8.9258545491429642E-3</c:v>
                </c:pt>
                <c:pt idx="14">
                  <c:v>6.1111674612029931E-3</c:v>
                </c:pt>
                <c:pt idx="15">
                  <c:v>4.4122121919059065E-3</c:v>
                </c:pt>
                <c:pt idx="16">
                  <c:v>3.2711228319302066E-3</c:v>
                </c:pt>
                <c:pt idx="17">
                  <c:v>2.4596815092808866E-3</c:v>
                </c:pt>
                <c:pt idx="18">
                  <c:v>1.622882645298751E-3</c:v>
                </c:pt>
                <c:pt idx="19">
                  <c:v>1.1157318186428844E-3</c:v>
                </c:pt>
              </c:numCache>
            </c:numRef>
          </c:xVal>
          <c:yVal>
            <c:numRef>
              <c:f>Arkusz1!$Q$5:$Q$24</c:f>
              <c:numCache>
                <c:formatCode>0.00</c:formatCode>
                <c:ptCount val="20"/>
                <c:pt idx="0">
                  <c:v>1</c:v>
                </c:pt>
                <c:pt idx="1">
                  <c:v>0.94654088050314467</c:v>
                </c:pt>
                <c:pt idx="2">
                  <c:v>0.82979559748427678</c:v>
                </c:pt>
                <c:pt idx="3">
                  <c:v>0.68828616352201255</c:v>
                </c:pt>
                <c:pt idx="4">
                  <c:v>0.56446540880503149</c:v>
                </c:pt>
                <c:pt idx="5">
                  <c:v>0.45911949685534592</c:v>
                </c:pt>
                <c:pt idx="6">
                  <c:v>0.37185534591194969</c:v>
                </c:pt>
                <c:pt idx="7">
                  <c:v>0.30621069182389937</c:v>
                </c:pt>
                <c:pt idx="8">
                  <c:v>0.24528301886792453</c:v>
                </c:pt>
                <c:pt idx="9">
                  <c:v>0.1918238993710692</c:v>
                </c:pt>
                <c:pt idx="10">
                  <c:v>0.14858490566037735</c:v>
                </c:pt>
                <c:pt idx="11">
                  <c:v>0.11831761006289308</c:v>
                </c:pt>
                <c:pt idx="12">
                  <c:v>9.473270440251573E-2</c:v>
                </c:pt>
                <c:pt idx="13">
                  <c:v>7.5864779874213834E-2</c:v>
                </c:pt>
                <c:pt idx="14">
                  <c:v>6.1320754716981132E-2</c:v>
                </c:pt>
                <c:pt idx="15">
                  <c:v>4.8742138364779877E-2</c:v>
                </c:pt>
                <c:pt idx="16">
                  <c:v>4.0094339622641507E-2</c:v>
                </c:pt>
                <c:pt idx="17">
                  <c:v>3.2625786163522012E-2</c:v>
                </c:pt>
                <c:pt idx="18">
                  <c:v>2.3977987421383649E-2</c:v>
                </c:pt>
                <c:pt idx="19">
                  <c:v>1.9261006289308175E-2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8-44FF-91D1-D61C0E6A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347967"/>
        <c:axId val="529353375"/>
      </c:scatterChart>
      <c:valAx>
        <c:axId val="52934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9353375"/>
        <c:crosses val="autoZero"/>
        <c:crossBetween val="midCat"/>
      </c:valAx>
      <c:valAx>
        <c:axId val="5293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934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3175</xdr:colOff>
      <xdr:row>0</xdr:row>
      <xdr:rowOff>57150</xdr:rowOff>
    </xdr:from>
    <xdr:to>
      <xdr:col>27</xdr:col>
      <xdr:colOff>46716</xdr:colOff>
      <xdr:row>25</xdr:row>
      <xdr:rowOff>23069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8">
              <a:extLst>
                <a:ext uri="{FF2B5EF4-FFF2-40B4-BE49-F238E27FC236}">
                  <a16:creationId xmlns:a16="http://schemas.microsoft.com/office/drawing/2014/main" id="{5B19EDB8-07D9-4E33-8C65-24BA690F53CB}"/>
                </a:ext>
              </a:extLst>
            </xdr:cNvPr>
            <xdr:cNvSpPr txBox="1"/>
          </xdr:nvSpPr>
          <xdr:spPr>
            <a:xfrm>
              <a:off x="13052425" y="57150"/>
              <a:ext cx="5529941" cy="472841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pl-P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Czułość (Recall)  </a:t>
              </a:r>
              <a14:m>
                <m:oMath xmlns:m="http://schemas.openxmlformats.org/officeDocument/2006/math">
                  <m:f>
                    <m:fPr>
                      <m:ctrlPr>
                        <a:rPr lang="pl-PL" sz="20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r>
                        <a:rPr lang="pl-PL" sz="20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𝑇𝑃</m:t>
                      </m:r>
                    </m:num>
                    <m:den>
                      <m:r>
                        <a:rPr lang="pl-PL" sz="20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𝑇𝑃</m:t>
                      </m:r>
                      <m:r>
                        <a:rPr lang="pl-PL" sz="20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+</m:t>
                      </m:r>
                      <m:r>
                        <a:rPr lang="pl-PL" sz="20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𝐹𝑁</m:t>
                      </m:r>
                    </m:den>
                  </m:f>
                </m:oMath>
              </a14:m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Precyzja klasyfikatora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𝑇𝑃</m:t>
                        </m:r>
                      </m:num>
                      <m:den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𝑇𝑃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𝐹𝑃</m:t>
                        </m:r>
                      </m:den>
                    </m:f>
                  </m:oMath>
                </m:oMathPara>
              </a14:m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 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Specyficzność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𝑇𝑁</m:t>
                        </m:r>
                      </m:num>
                      <m:den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𝑇𝑁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𝐹𝑃</m:t>
                        </m:r>
                      </m:den>
                    </m:f>
                    <m:r>
                      <a:rPr lang="pl-PL" sz="20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=1−</m:t>
                    </m:r>
                    <m:f>
                      <m:fPr>
                        <m:ctrlP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𝐹𝑃</m:t>
                        </m:r>
                      </m:num>
                      <m:den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𝑇𝑁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𝐹𝑃</m:t>
                        </m:r>
                      </m:den>
                    </m:f>
                  </m:oMath>
                </m:oMathPara>
              </a14:m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Oszacowanie prawdopodobieństwa błędnej klasyfikacji (misclasssification rate MR)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20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𝑀𝑅</m:t>
                    </m:r>
                    <m:r>
                      <a:rPr lang="pl-PL" sz="20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𝐹𝑃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𝐹𝑁</m:t>
                        </m:r>
                      </m:num>
                      <m:den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𝑃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+</m:t>
                        </m:r>
                        <m:r>
                          <a:rPr lang="pl-PL" sz="20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𝑁</m:t>
                        </m:r>
                      </m:den>
                    </m:f>
                  </m:oMath>
                </m:oMathPara>
              </a14:m>
              <a:endParaRPr lang="pl-PL" sz="16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3" name="pole tekstowe 8">
              <a:extLst>
                <a:ext uri="{FF2B5EF4-FFF2-40B4-BE49-F238E27FC236}">
                  <a16:creationId xmlns:a16="http://schemas.microsoft.com/office/drawing/2014/main" id="{5B19EDB8-07D9-4E33-8C65-24BA690F53CB}"/>
                </a:ext>
              </a:extLst>
            </xdr:cNvPr>
            <xdr:cNvSpPr txBox="1"/>
          </xdr:nvSpPr>
          <xdr:spPr>
            <a:xfrm>
              <a:off x="13052425" y="57150"/>
              <a:ext cx="5529941" cy="472841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pl-PL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Czułość (Recall)  </a:t>
              </a:r>
              <a:r>
                <a:rPr lang="pl-PL" sz="20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𝑇𝑃/(𝑇𝑃+𝐹𝑁)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Precyzja klasyfikatora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𝑇𝑃/(𝑇𝑃+𝐹𝑃)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 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Specyficzność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𝑇𝑁/(𝑇𝑁+𝐹𝑃)=1−𝐹𝑃/(𝑇𝑁+𝐹𝑃)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>
                  <a:effectLst/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Oszacowanie prawdopodobieństwa błędnej klasyfikacji (misclasssification rate MR)</a:t>
              </a:r>
              <a:endParaRPr lang="pl-PL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>
                <a:lnSpc>
                  <a:spcPct val="107000"/>
                </a:lnSpc>
                <a:spcAft>
                  <a:spcPts val="800"/>
                </a:spcAft>
              </a:pPr>
              <a:r>
                <a:rPr lang="pl-PL" sz="20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𝑀𝑅=(𝐹𝑃+𝐹𝑁)/(𝑃+𝑁)</a:t>
              </a:r>
              <a:endParaRPr lang="pl-PL" sz="16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7</xdr:col>
      <xdr:colOff>561975</xdr:colOff>
      <xdr:row>1</xdr:row>
      <xdr:rowOff>82550</xdr:rowOff>
    </xdr:from>
    <xdr:to>
      <xdr:col>13</xdr:col>
      <xdr:colOff>336550</xdr:colOff>
      <xdr:row>15</xdr:row>
      <xdr:rowOff>165100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7873594C-C774-4BD5-80E4-D45C3DDAF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739775</xdr:colOff>
      <xdr:row>16</xdr:row>
      <xdr:rowOff>82550</xdr:rowOff>
    </xdr:from>
    <xdr:to>
      <xdr:col>13</xdr:col>
      <xdr:colOff>842154</xdr:colOff>
      <xdr:row>22</xdr:row>
      <xdr:rowOff>130336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2448742D-9F84-495D-9656-CDF7C9F0C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87775" y="3187700"/>
          <a:ext cx="5582429" cy="11526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489000\Downloads\Ocena_jako&#347;ci_modelu_WynikiSAS_Raz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ównanieRegresjaLogistyczna"/>
      <sheetName val="OR (2)"/>
      <sheetName val="CTable_All"/>
      <sheetName val="CTable_PL"/>
      <sheetName val="CTable_CZ"/>
      <sheetName val="CTable_HU"/>
      <sheetName val="CTable_SK"/>
      <sheetName val="OR"/>
    </sheetNames>
    <sheetDataSet>
      <sheetData sheetId="0" refreshError="1"/>
      <sheetData sheetId="1" refreshError="1"/>
      <sheetData sheetId="2">
        <row r="5">
          <cell r="N5">
            <v>0</v>
          </cell>
          <cell r="O5">
            <v>0</v>
          </cell>
        </row>
        <row r="6">
          <cell r="N6">
            <v>5.2999999999999972</v>
          </cell>
          <cell r="O6">
            <v>22</v>
          </cell>
        </row>
        <row r="7">
          <cell r="N7">
            <v>17</v>
          </cell>
          <cell r="O7">
            <v>47.8</v>
          </cell>
        </row>
        <row r="8">
          <cell r="N8">
            <v>31.200000000000003</v>
          </cell>
          <cell r="O8">
            <v>65.900000000000006</v>
          </cell>
        </row>
        <row r="9">
          <cell r="N9">
            <v>43.6</v>
          </cell>
          <cell r="O9">
            <v>77.3</v>
          </cell>
        </row>
        <row r="10">
          <cell r="N10">
            <v>54.1</v>
          </cell>
          <cell r="O10">
            <v>84.8</v>
          </cell>
        </row>
        <row r="11">
          <cell r="N11">
            <v>62.8</v>
          </cell>
          <cell r="O11">
            <v>89.7</v>
          </cell>
        </row>
        <row r="12">
          <cell r="N12">
            <v>69.400000000000006</v>
          </cell>
          <cell r="O12">
            <v>92.7</v>
          </cell>
        </row>
        <row r="13">
          <cell r="N13">
            <v>75.5</v>
          </cell>
          <cell r="O13">
            <v>95.1</v>
          </cell>
        </row>
        <row r="14">
          <cell r="N14">
            <v>80.8</v>
          </cell>
          <cell r="O14">
            <v>96.7</v>
          </cell>
        </row>
        <row r="15">
          <cell r="N15">
            <v>85.1</v>
          </cell>
          <cell r="O15">
            <v>97.7</v>
          </cell>
        </row>
        <row r="16">
          <cell r="N16">
            <v>88.2</v>
          </cell>
          <cell r="O16">
            <v>98.3</v>
          </cell>
        </row>
        <row r="17">
          <cell r="N17">
            <v>90.5</v>
          </cell>
          <cell r="O17">
            <v>98.8</v>
          </cell>
        </row>
        <row r="18">
          <cell r="N18">
            <v>92.4</v>
          </cell>
          <cell r="O18">
            <v>99.1</v>
          </cell>
        </row>
        <row r="19">
          <cell r="N19">
            <v>93.9</v>
          </cell>
          <cell r="O19">
            <v>99.4</v>
          </cell>
        </row>
        <row r="20">
          <cell r="N20">
            <v>95.1</v>
          </cell>
          <cell r="O20">
            <v>99.6</v>
          </cell>
        </row>
        <row r="21">
          <cell r="N21">
            <v>96</v>
          </cell>
          <cell r="O21">
            <v>99.7</v>
          </cell>
        </row>
        <row r="22">
          <cell r="N22">
            <v>96.7</v>
          </cell>
          <cell r="O22">
            <v>99.8</v>
          </cell>
        </row>
        <row r="23">
          <cell r="N23">
            <v>97.6</v>
          </cell>
          <cell r="O23">
            <v>99.8</v>
          </cell>
        </row>
        <row r="24">
          <cell r="N24">
            <v>98.1</v>
          </cell>
          <cell r="O24">
            <v>99.9</v>
          </cell>
        </row>
        <row r="25">
          <cell r="N25">
            <v>98.7</v>
          </cell>
          <cell r="O25">
            <v>99.9</v>
          </cell>
        </row>
        <row r="26">
          <cell r="N26">
            <v>99</v>
          </cell>
          <cell r="O26">
            <v>99.9</v>
          </cell>
        </row>
        <row r="27">
          <cell r="N27">
            <v>99.3</v>
          </cell>
          <cell r="O27">
            <v>100</v>
          </cell>
        </row>
        <row r="28">
          <cell r="N28">
            <v>99.4</v>
          </cell>
          <cell r="O28">
            <v>100</v>
          </cell>
        </row>
        <row r="29">
          <cell r="N29">
            <v>99.6</v>
          </cell>
          <cell r="O29">
            <v>100</v>
          </cell>
        </row>
        <row r="30">
          <cell r="N30">
            <v>99.7</v>
          </cell>
          <cell r="O30">
            <v>100</v>
          </cell>
        </row>
        <row r="31">
          <cell r="N31">
            <v>99.7</v>
          </cell>
          <cell r="O31">
            <v>100</v>
          </cell>
        </row>
        <row r="32">
          <cell r="N32">
            <v>99.8</v>
          </cell>
          <cell r="O32">
            <v>100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A1FB-EE45-4AF0-B201-32F303052079}">
  <dimension ref="A1:Q55"/>
  <sheetViews>
    <sheetView tabSelected="1" topLeftCell="F3" workbookViewId="0">
      <selection activeCell="N5" sqref="N5:Q24"/>
    </sheetView>
  </sheetViews>
  <sheetFormatPr defaultRowHeight="14.5" x14ac:dyDescent="0.35"/>
  <cols>
    <col min="6" max="6" width="13.54296875" customWidth="1"/>
    <col min="7" max="7" width="8.7265625" customWidth="1"/>
    <col min="12" max="12" width="12.54296875" customWidth="1"/>
    <col min="14" max="14" width="19.08984375" customWidth="1"/>
    <col min="15" max="15" width="15.1796875" customWidth="1"/>
    <col min="16" max="16" width="13" customWidth="1"/>
  </cols>
  <sheetData>
    <row r="1" spans="1:17" ht="14.15" customHeight="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"/>
      <c r="L1" s="1"/>
      <c r="M1" s="1"/>
    </row>
    <row r="2" spans="1:17" ht="14.15" customHeight="1" x14ac:dyDescent="0.35">
      <c r="A2" s="2" t="s">
        <v>1</v>
      </c>
      <c r="B2" s="16" t="s">
        <v>2</v>
      </c>
      <c r="C2" s="16"/>
      <c r="D2" s="16" t="s">
        <v>3</v>
      </c>
      <c r="E2" s="16"/>
      <c r="F2" s="16" t="s">
        <v>4</v>
      </c>
      <c r="G2" s="16"/>
      <c r="H2" s="16"/>
      <c r="I2" s="16"/>
      <c r="J2" s="16"/>
      <c r="K2" s="1"/>
      <c r="L2" s="1"/>
      <c r="M2" s="1"/>
    </row>
    <row r="3" spans="1:17" x14ac:dyDescent="0.35">
      <c r="A3" s="3" t="s">
        <v>5</v>
      </c>
      <c r="B3" s="17" t="s">
        <v>6</v>
      </c>
      <c r="C3" s="4" t="s">
        <v>7</v>
      </c>
      <c r="D3" s="17" t="s">
        <v>8</v>
      </c>
      <c r="E3" s="4" t="s">
        <v>7</v>
      </c>
      <c r="F3" s="18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1"/>
      <c r="L3" s="1"/>
      <c r="M3" s="1"/>
    </row>
    <row r="4" spans="1:17" ht="28" x14ac:dyDescent="0.35">
      <c r="A4" s="3"/>
      <c r="B4" s="17"/>
      <c r="C4" s="4" t="s">
        <v>14</v>
      </c>
      <c r="D4" s="17"/>
      <c r="E4" s="4" t="s">
        <v>15</v>
      </c>
      <c r="F4" s="18"/>
      <c r="G4" s="5" t="s">
        <v>16</v>
      </c>
      <c r="H4" s="5" t="s">
        <v>17</v>
      </c>
      <c r="I4" s="5" t="s">
        <v>18</v>
      </c>
      <c r="J4" s="5" t="s">
        <v>18</v>
      </c>
      <c r="K4" s="5" t="s">
        <v>19</v>
      </c>
      <c r="L4" s="5" t="s">
        <v>20</v>
      </c>
      <c r="M4" s="5" t="s">
        <v>21</v>
      </c>
      <c r="N4" s="6" t="s">
        <v>22</v>
      </c>
      <c r="O4" s="6" t="s">
        <v>23</v>
      </c>
      <c r="P4" s="6" t="s">
        <v>25</v>
      </c>
      <c r="Q4" s="6" t="s">
        <v>26</v>
      </c>
    </row>
    <row r="5" spans="1:17" x14ac:dyDescent="0.35">
      <c r="A5" s="7">
        <v>0</v>
      </c>
      <c r="B5" s="8">
        <v>2544</v>
      </c>
      <c r="C5" s="8">
        <v>0</v>
      </c>
      <c r="D5" s="8">
        <v>39436</v>
      </c>
      <c r="E5" s="8">
        <v>0</v>
      </c>
      <c r="F5" s="9">
        <v>6.1</v>
      </c>
      <c r="G5" s="9">
        <v>100</v>
      </c>
      <c r="H5" s="9">
        <v>0</v>
      </c>
      <c r="I5" s="9">
        <v>6.1</v>
      </c>
      <c r="J5" s="9" t="s">
        <v>24</v>
      </c>
      <c r="K5">
        <f>B5+C5+D5+E5</f>
        <v>41980</v>
      </c>
      <c r="L5" s="10">
        <f>(B5+C5)/(D5+B5+E5+C5)</f>
        <v>6.0600285850404952E-2</v>
      </c>
      <c r="M5" s="11">
        <f>B5/(B5+E5)</f>
        <v>1</v>
      </c>
      <c r="N5" s="12">
        <f>B5/(B5+E5)</f>
        <v>1</v>
      </c>
      <c r="O5">
        <f>C5/(C5+D5)</f>
        <v>0</v>
      </c>
      <c r="P5">
        <f>1-O5</f>
        <v>1</v>
      </c>
      <c r="Q5" s="12">
        <f>N5</f>
        <v>1</v>
      </c>
    </row>
    <row r="6" spans="1:17" x14ac:dyDescent="0.35">
      <c r="A6" s="7">
        <v>0.02</v>
      </c>
      <c r="B6" s="8">
        <v>2408</v>
      </c>
      <c r="C6" s="8">
        <v>8695</v>
      </c>
      <c r="D6" s="8">
        <v>30741</v>
      </c>
      <c r="E6" s="8">
        <v>136</v>
      </c>
      <c r="F6" s="9">
        <v>26.4</v>
      </c>
      <c r="G6" s="9">
        <v>94.7</v>
      </c>
      <c r="H6" s="9">
        <v>22</v>
      </c>
      <c r="I6" s="9">
        <v>7.3</v>
      </c>
      <c r="J6" s="9">
        <v>98.5</v>
      </c>
      <c r="K6">
        <f t="shared" ref="K6:K55" si="0">B6+C6+D6+E6</f>
        <v>41980</v>
      </c>
      <c r="L6" s="10">
        <f t="shared" ref="L6:L49" si="1">(B6+C6)/(D6+B6+E6+C6)</f>
        <v>0.26448308718437352</v>
      </c>
      <c r="M6" s="11">
        <f t="shared" ref="M6:M51" si="2">B6/(B6+E6)</f>
        <v>0.94654088050314467</v>
      </c>
      <c r="N6" s="12">
        <f>B6/(B6+E6)</f>
        <v>0.94654088050314467</v>
      </c>
      <c r="O6" s="12">
        <f>C6/(C6+D6)</f>
        <v>0.22048382188862967</v>
      </c>
      <c r="P6">
        <f t="shared" ref="P6:P24" si="3">1-O6</f>
        <v>0.77951617811137031</v>
      </c>
      <c r="Q6" s="12">
        <f t="shared" ref="Q6:Q24" si="4">N6</f>
        <v>0.94654088050314467</v>
      </c>
    </row>
    <row r="7" spans="1:17" x14ac:dyDescent="0.35">
      <c r="A7" s="7">
        <v>0.04</v>
      </c>
      <c r="B7" s="8">
        <v>2111</v>
      </c>
      <c r="C7" s="8">
        <v>18849</v>
      </c>
      <c r="D7" s="8">
        <v>20587</v>
      </c>
      <c r="E7" s="8">
        <v>433</v>
      </c>
      <c r="F7" s="9">
        <v>49.9</v>
      </c>
      <c r="G7" s="9">
        <v>83</v>
      </c>
      <c r="H7" s="9">
        <v>47.8</v>
      </c>
      <c r="I7" s="9">
        <v>9.3000000000000007</v>
      </c>
      <c r="J7" s="9">
        <v>97.8</v>
      </c>
      <c r="K7">
        <f t="shared" si="0"/>
        <v>41980</v>
      </c>
      <c r="L7" s="10">
        <f t="shared" si="1"/>
        <v>0.49928537398761313</v>
      </c>
      <c r="M7" s="11">
        <f t="shared" si="2"/>
        <v>0.82979559748427678</v>
      </c>
      <c r="N7" s="12">
        <f>B7/(B7+E7)</f>
        <v>0.82979559748427678</v>
      </c>
      <c r="O7" s="12">
        <f>C7/(C7+D7)</f>
        <v>0.47796429658180345</v>
      </c>
      <c r="P7">
        <f t="shared" si="3"/>
        <v>0.52203570341819661</v>
      </c>
      <c r="Q7" s="12">
        <f t="shared" si="4"/>
        <v>0.82979559748427678</v>
      </c>
    </row>
    <row r="8" spans="1:17" x14ac:dyDescent="0.35">
      <c r="A8" s="7">
        <v>0.06</v>
      </c>
      <c r="B8" s="13">
        <v>1751</v>
      </c>
      <c r="C8" s="13">
        <v>25971</v>
      </c>
      <c r="D8" s="13">
        <v>13465</v>
      </c>
      <c r="E8" s="13">
        <v>793</v>
      </c>
      <c r="F8" s="9">
        <v>66</v>
      </c>
      <c r="G8" s="9">
        <v>68.8</v>
      </c>
      <c r="H8" s="9">
        <v>65.900000000000006</v>
      </c>
      <c r="I8" s="9">
        <v>11.5</v>
      </c>
      <c r="J8" s="9">
        <v>97</v>
      </c>
      <c r="K8">
        <f t="shared" si="0"/>
        <v>41980</v>
      </c>
      <c r="L8" s="14">
        <f t="shared" si="1"/>
        <v>0.66036207717960937</v>
      </c>
      <c r="M8" s="15">
        <f t="shared" si="2"/>
        <v>0.68828616352201255</v>
      </c>
      <c r="N8" s="12">
        <f>B8/(B8+E8)</f>
        <v>0.68828616352201255</v>
      </c>
      <c r="O8" s="12">
        <f>C8/(C8+D8)</f>
        <v>0.65856070595395066</v>
      </c>
      <c r="P8">
        <f t="shared" si="3"/>
        <v>0.34143929404604934</v>
      </c>
      <c r="Q8" s="12">
        <f t="shared" si="4"/>
        <v>0.68828616352201255</v>
      </c>
    </row>
    <row r="9" spans="1:17" x14ac:dyDescent="0.35">
      <c r="A9" s="7">
        <v>0.08</v>
      </c>
      <c r="B9" s="8">
        <v>1436</v>
      </c>
      <c r="C9" s="8">
        <v>30469</v>
      </c>
      <c r="D9" s="8">
        <v>8967</v>
      </c>
      <c r="E9" s="8">
        <v>1108</v>
      </c>
      <c r="F9" s="9">
        <v>76</v>
      </c>
      <c r="G9" s="9">
        <v>56.4</v>
      </c>
      <c r="H9" s="9">
        <v>77.3</v>
      </c>
      <c r="I9" s="9">
        <v>13.8</v>
      </c>
      <c r="J9" s="9">
        <v>96.5</v>
      </c>
      <c r="K9">
        <f t="shared" si="0"/>
        <v>41980</v>
      </c>
      <c r="L9" s="10">
        <f t="shared" si="1"/>
        <v>0.76000476417341589</v>
      </c>
      <c r="M9" s="11">
        <f t="shared" si="2"/>
        <v>0.56446540880503149</v>
      </c>
      <c r="N9" s="12">
        <f>B9/(B9+E9)</f>
        <v>0.56446540880503149</v>
      </c>
      <c r="O9" s="12">
        <f>C9/(C9+D9)</f>
        <v>0.77261892686885081</v>
      </c>
      <c r="P9">
        <f t="shared" si="3"/>
        <v>0.22738107313114919</v>
      </c>
      <c r="Q9" s="12">
        <f t="shared" si="4"/>
        <v>0.56446540880503149</v>
      </c>
    </row>
    <row r="10" spans="1:17" x14ac:dyDescent="0.35">
      <c r="A10" s="7">
        <v>0.1</v>
      </c>
      <c r="B10" s="8">
        <v>1168</v>
      </c>
      <c r="C10" s="8">
        <v>33454</v>
      </c>
      <c r="D10" s="8">
        <v>5982</v>
      </c>
      <c r="E10" s="8">
        <v>1376</v>
      </c>
      <c r="F10" s="9">
        <v>82.5</v>
      </c>
      <c r="G10" s="9">
        <v>45.9</v>
      </c>
      <c r="H10" s="9">
        <v>84.8</v>
      </c>
      <c r="I10" s="9">
        <v>16.3</v>
      </c>
      <c r="J10" s="9">
        <v>96</v>
      </c>
      <c r="K10">
        <f t="shared" si="0"/>
        <v>41980</v>
      </c>
      <c r="L10" s="10">
        <f t="shared" si="1"/>
        <v>0.82472606002858506</v>
      </c>
      <c r="M10" s="11">
        <f t="shared" si="2"/>
        <v>0.45911949685534592</v>
      </c>
      <c r="N10" s="12">
        <f>B10/(B10+E10)</f>
        <v>0.45911949685534592</v>
      </c>
      <c r="O10" s="12">
        <f>C10/(C10+D10)</f>
        <v>0.84831118774723602</v>
      </c>
      <c r="P10">
        <f t="shared" si="3"/>
        <v>0.15168881225276398</v>
      </c>
      <c r="Q10" s="12">
        <f t="shared" si="4"/>
        <v>0.45911949685534592</v>
      </c>
    </row>
    <row r="11" spans="1:17" x14ac:dyDescent="0.35">
      <c r="A11" s="7">
        <v>0.12</v>
      </c>
      <c r="B11" s="8">
        <v>946</v>
      </c>
      <c r="C11" s="8">
        <v>35356</v>
      </c>
      <c r="D11" s="8">
        <v>4080</v>
      </c>
      <c r="E11" s="8">
        <v>1598</v>
      </c>
      <c r="F11" s="9">
        <v>86.5</v>
      </c>
      <c r="G11" s="9">
        <v>37.200000000000003</v>
      </c>
      <c r="H11" s="9">
        <v>89.7</v>
      </c>
      <c r="I11" s="9">
        <v>18.8</v>
      </c>
      <c r="J11" s="9">
        <v>95.7</v>
      </c>
      <c r="K11">
        <f t="shared" si="0"/>
        <v>41980</v>
      </c>
      <c r="L11" s="10">
        <f t="shared" si="1"/>
        <v>0.86474511672224874</v>
      </c>
      <c r="M11" s="11">
        <f t="shared" si="2"/>
        <v>0.37185534591194969</v>
      </c>
      <c r="N11" s="12">
        <f>B11/(B11+E11)</f>
        <v>0.37185534591194969</v>
      </c>
      <c r="O11" s="12">
        <f>C11/(C11+D11)</f>
        <v>0.89654123136220709</v>
      </c>
      <c r="P11">
        <f t="shared" si="3"/>
        <v>0.10345876863779291</v>
      </c>
      <c r="Q11" s="12">
        <f t="shared" si="4"/>
        <v>0.37185534591194969</v>
      </c>
    </row>
    <row r="12" spans="1:17" x14ac:dyDescent="0.35">
      <c r="A12" s="7">
        <v>0.14000000000000001</v>
      </c>
      <c r="B12" s="8">
        <v>779</v>
      </c>
      <c r="C12" s="8">
        <v>36576</v>
      </c>
      <c r="D12" s="8">
        <v>2860</v>
      </c>
      <c r="E12" s="8">
        <v>1765</v>
      </c>
      <c r="F12" s="9">
        <v>89</v>
      </c>
      <c r="G12" s="9">
        <v>30.6</v>
      </c>
      <c r="H12" s="9">
        <v>92.7</v>
      </c>
      <c r="I12" s="9">
        <v>21.4</v>
      </c>
      <c r="J12" s="9">
        <v>95.4</v>
      </c>
      <c r="K12">
        <f t="shared" si="0"/>
        <v>41980</v>
      </c>
      <c r="L12" s="10">
        <f t="shared" si="1"/>
        <v>0.88982848975702711</v>
      </c>
      <c r="M12" s="11">
        <f t="shared" si="2"/>
        <v>0.30621069182389937</v>
      </c>
      <c r="N12" s="12">
        <f>B12/(B12+E12)</f>
        <v>0.30621069182389937</v>
      </c>
      <c r="O12" s="12">
        <f>C12/(C12+D12)</f>
        <v>0.92747743178821385</v>
      </c>
      <c r="P12">
        <f t="shared" si="3"/>
        <v>7.2522568211786154E-2</v>
      </c>
      <c r="Q12" s="12">
        <f t="shared" si="4"/>
        <v>0.30621069182389937</v>
      </c>
    </row>
    <row r="13" spans="1:17" x14ac:dyDescent="0.35">
      <c r="A13" s="7">
        <v>0.16</v>
      </c>
      <c r="B13" s="8">
        <v>624</v>
      </c>
      <c r="C13" s="8">
        <v>37498</v>
      </c>
      <c r="D13" s="8">
        <v>1938</v>
      </c>
      <c r="E13" s="8">
        <v>1920</v>
      </c>
      <c r="F13" s="9">
        <v>90.8</v>
      </c>
      <c r="G13" s="9">
        <v>24.5</v>
      </c>
      <c r="H13" s="9">
        <v>95.1</v>
      </c>
      <c r="I13" s="9">
        <v>24.4</v>
      </c>
      <c r="J13" s="9">
        <v>95.1</v>
      </c>
      <c r="K13">
        <f t="shared" si="0"/>
        <v>41980</v>
      </c>
      <c r="L13" s="10">
        <f t="shared" si="1"/>
        <v>0.90809909480705098</v>
      </c>
      <c r="M13" s="11">
        <f t="shared" si="2"/>
        <v>0.24528301886792453</v>
      </c>
      <c r="N13" s="12">
        <f>B13/(B13+E13)</f>
        <v>0.24528301886792453</v>
      </c>
      <c r="O13" s="12">
        <f>C13/(C13+D13)</f>
        <v>0.95085708489704834</v>
      </c>
      <c r="P13">
        <f t="shared" si="3"/>
        <v>4.9142915102951656E-2</v>
      </c>
      <c r="Q13" s="12">
        <f t="shared" si="4"/>
        <v>0.24528301886792453</v>
      </c>
    </row>
    <row r="14" spans="1:17" x14ac:dyDescent="0.35">
      <c r="A14" s="7">
        <v>0.18</v>
      </c>
      <c r="B14" s="8">
        <v>488</v>
      </c>
      <c r="C14" s="8">
        <v>38119</v>
      </c>
      <c r="D14" s="8">
        <v>1317</v>
      </c>
      <c r="E14" s="8">
        <v>2056</v>
      </c>
      <c r="F14" s="9">
        <v>92</v>
      </c>
      <c r="G14" s="9">
        <v>19.2</v>
      </c>
      <c r="H14" s="9">
        <v>96.7</v>
      </c>
      <c r="I14" s="9">
        <v>27</v>
      </c>
      <c r="J14" s="9">
        <v>94.9</v>
      </c>
      <c r="K14">
        <f t="shared" si="0"/>
        <v>41980</v>
      </c>
      <c r="L14" s="10">
        <f t="shared" si="1"/>
        <v>0.91965221534063835</v>
      </c>
      <c r="M14" s="11">
        <f t="shared" si="2"/>
        <v>0.1918238993710692</v>
      </c>
      <c r="N14" s="12">
        <f>B14/(B14+E14)</f>
        <v>0.1918238993710692</v>
      </c>
      <c r="O14" s="12">
        <f>C14/(C14+D14)</f>
        <v>0.96660411806471247</v>
      </c>
      <c r="P14">
        <f t="shared" si="3"/>
        <v>3.339588193528753E-2</v>
      </c>
      <c r="Q14" s="12">
        <f t="shared" si="4"/>
        <v>0.1918238993710692</v>
      </c>
    </row>
    <row r="15" spans="1:17" x14ac:dyDescent="0.35">
      <c r="A15" s="7">
        <v>0.2</v>
      </c>
      <c r="B15" s="8">
        <v>378</v>
      </c>
      <c r="C15" s="8">
        <v>38531</v>
      </c>
      <c r="D15" s="8">
        <v>905</v>
      </c>
      <c r="E15" s="8">
        <v>2166</v>
      </c>
      <c r="F15" s="9">
        <v>92.7</v>
      </c>
      <c r="G15" s="9">
        <v>14.9</v>
      </c>
      <c r="H15" s="9">
        <v>97.7</v>
      </c>
      <c r="I15" s="9">
        <v>29.5</v>
      </c>
      <c r="J15" s="9">
        <v>94.7</v>
      </c>
      <c r="K15">
        <f t="shared" si="0"/>
        <v>41980</v>
      </c>
      <c r="L15" s="10">
        <f t="shared" si="1"/>
        <v>0.92684611719866605</v>
      </c>
      <c r="M15" s="11">
        <f t="shared" si="2"/>
        <v>0.14858490566037735</v>
      </c>
      <c r="N15" s="12">
        <f>B15/(B15+E15)</f>
        <v>0.14858490566037735</v>
      </c>
      <c r="O15" s="12">
        <f>C15/(C15+D15)</f>
        <v>0.97705142509382292</v>
      </c>
      <c r="P15">
        <f t="shared" si="3"/>
        <v>2.2948574906177077E-2</v>
      </c>
      <c r="Q15" s="12">
        <f t="shared" si="4"/>
        <v>0.14858490566037735</v>
      </c>
    </row>
    <row r="16" spans="1:17" x14ac:dyDescent="0.35">
      <c r="A16" s="7">
        <v>0.22</v>
      </c>
      <c r="B16" s="8">
        <v>301</v>
      </c>
      <c r="C16" s="8">
        <v>38779</v>
      </c>
      <c r="D16" s="8">
        <v>657</v>
      </c>
      <c r="E16" s="8">
        <v>2243</v>
      </c>
      <c r="F16" s="9">
        <v>93.1</v>
      </c>
      <c r="G16" s="9">
        <v>11.8</v>
      </c>
      <c r="H16" s="9">
        <v>98.3</v>
      </c>
      <c r="I16" s="9">
        <v>31.4</v>
      </c>
      <c r="J16" s="9">
        <v>94.5</v>
      </c>
      <c r="K16">
        <f t="shared" si="0"/>
        <v>41980</v>
      </c>
      <c r="L16" s="10">
        <f t="shared" si="1"/>
        <v>0.93091948546927106</v>
      </c>
      <c r="M16" s="11">
        <f t="shared" si="2"/>
        <v>0.11831761006289308</v>
      </c>
      <c r="N16" s="12">
        <f>B16/(B16+E16)</f>
        <v>0.11831761006289308</v>
      </c>
      <c r="O16" s="12">
        <f>C16/(C16+D16)</f>
        <v>0.9833400953443554</v>
      </c>
      <c r="P16">
        <f t="shared" si="3"/>
        <v>1.6659904655644597E-2</v>
      </c>
      <c r="Q16" s="12">
        <f t="shared" si="4"/>
        <v>0.11831761006289308</v>
      </c>
    </row>
    <row r="17" spans="1:17" x14ac:dyDescent="0.35">
      <c r="A17" s="7">
        <v>0.24</v>
      </c>
      <c r="B17" s="8">
        <v>241</v>
      </c>
      <c r="C17" s="8">
        <v>38961</v>
      </c>
      <c r="D17" s="8">
        <v>475</v>
      </c>
      <c r="E17" s="8">
        <v>2303</v>
      </c>
      <c r="F17" s="9">
        <v>93.4</v>
      </c>
      <c r="G17" s="9">
        <v>9.5</v>
      </c>
      <c r="H17" s="9">
        <v>98.8</v>
      </c>
      <c r="I17" s="9">
        <v>33.700000000000003</v>
      </c>
      <c r="J17" s="9">
        <v>94.4</v>
      </c>
      <c r="K17">
        <f t="shared" si="0"/>
        <v>41980</v>
      </c>
      <c r="L17" s="10">
        <f t="shared" si="1"/>
        <v>0.93382563125297757</v>
      </c>
      <c r="M17" s="11">
        <f t="shared" si="2"/>
        <v>9.473270440251573E-2</v>
      </c>
      <c r="N17" s="12">
        <f>B17/(B17+E17)</f>
        <v>9.473270440251573E-2</v>
      </c>
      <c r="O17" s="12">
        <f>C17/(C17+D17)</f>
        <v>0.98795516786692361</v>
      </c>
      <c r="P17">
        <f t="shared" si="3"/>
        <v>1.2044832133076389E-2</v>
      </c>
      <c r="Q17" s="12">
        <f t="shared" si="4"/>
        <v>9.473270440251573E-2</v>
      </c>
    </row>
    <row r="18" spans="1:17" x14ac:dyDescent="0.35">
      <c r="A18" s="7">
        <v>0.26</v>
      </c>
      <c r="B18" s="8">
        <v>193</v>
      </c>
      <c r="C18" s="8">
        <v>39084</v>
      </c>
      <c r="D18" s="8">
        <v>352</v>
      </c>
      <c r="E18" s="8">
        <v>2351</v>
      </c>
      <c r="F18" s="9">
        <v>93.6</v>
      </c>
      <c r="G18" s="9">
        <v>7.6</v>
      </c>
      <c r="H18" s="9">
        <v>99.1</v>
      </c>
      <c r="I18" s="9">
        <v>35.4</v>
      </c>
      <c r="J18" s="9">
        <v>94.3</v>
      </c>
      <c r="K18">
        <f t="shared" si="0"/>
        <v>41980</v>
      </c>
      <c r="L18" s="10">
        <f t="shared" si="1"/>
        <v>0.93561219628394476</v>
      </c>
      <c r="M18" s="11">
        <f t="shared" si="2"/>
        <v>7.5864779874213834E-2</v>
      </c>
      <c r="N18" s="12">
        <f>B18/(B18+E18)</f>
        <v>7.5864779874213834E-2</v>
      </c>
      <c r="O18" s="12">
        <f>C18/(C18+D18)</f>
        <v>0.99107414545085704</v>
      </c>
      <c r="P18">
        <f t="shared" si="3"/>
        <v>8.9258545491429642E-3</v>
      </c>
      <c r="Q18" s="12">
        <f t="shared" si="4"/>
        <v>7.5864779874213834E-2</v>
      </c>
    </row>
    <row r="19" spans="1:17" x14ac:dyDescent="0.35">
      <c r="A19" s="7">
        <v>0.28000000000000003</v>
      </c>
      <c r="B19" s="8">
        <v>156</v>
      </c>
      <c r="C19" s="8">
        <v>39195</v>
      </c>
      <c r="D19" s="8">
        <v>241</v>
      </c>
      <c r="E19" s="8">
        <v>2388</v>
      </c>
      <c r="F19" s="9">
        <v>93.7</v>
      </c>
      <c r="G19" s="9">
        <v>6.1</v>
      </c>
      <c r="H19" s="9">
        <v>99.4</v>
      </c>
      <c r="I19" s="9">
        <v>39.299999999999997</v>
      </c>
      <c r="J19" s="9">
        <v>94.3</v>
      </c>
      <c r="K19">
        <f t="shared" si="0"/>
        <v>41980</v>
      </c>
      <c r="L19" s="10">
        <f t="shared" si="1"/>
        <v>0.93737494044783232</v>
      </c>
      <c r="M19" s="11">
        <f t="shared" si="2"/>
        <v>6.1320754716981132E-2</v>
      </c>
      <c r="N19" s="12">
        <f>B19/(B19+E19)</f>
        <v>6.1320754716981132E-2</v>
      </c>
      <c r="O19" s="12">
        <f>C19/(C19+D19)</f>
        <v>0.99388883253879701</v>
      </c>
      <c r="P19">
        <f t="shared" si="3"/>
        <v>6.1111674612029931E-3</v>
      </c>
      <c r="Q19" s="12">
        <f t="shared" si="4"/>
        <v>6.1320754716981132E-2</v>
      </c>
    </row>
    <row r="20" spans="1:17" x14ac:dyDescent="0.35">
      <c r="A20" s="7">
        <v>0.3</v>
      </c>
      <c r="B20" s="8">
        <v>124</v>
      </c>
      <c r="C20" s="8">
        <v>39262</v>
      </c>
      <c r="D20" s="8">
        <v>174</v>
      </c>
      <c r="E20" s="8">
        <v>2420</v>
      </c>
      <c r="F20" s="9">
        <v>93.8</v>
      </c>
      <c r="G20" s="9">
        <v>4.9000000000000004</v>
      </c>
      <c r="H20" s="9">
        <v>99.6</v>
      </c>
      <c r="I20" s="9">
        <v>41.6</v>
      </c>
      <c r="J20" s="9">
        <v>94.2</v>
      </c>
      <c r="K20">
        <f t="shared" si="0"/>
        <v>41980</v>
      </c>
      <c r="L20" s="10">
        <f t="shared" si="1"/>
        <v>0.93820867079561698</v>
      </c>
      <c r="M20" s="11">
        <f t="shared" si="2"/>
        <v>4.8742138364779877E-2</v>
      </c>
      <c r="N20" s="12">
        <f>B20/(B20+E20)</f>
        <v>4.8742138364779877E-2</v>
      </c>
      <c r="O20" s="12">
        <f>C20/(C20+D20)</f>
        <v>0.99558778780809409</v>
      </c>
      <c r="P20">
        <f t="shared" si="3"/>
        <v>4.4122121919059065E-3</v>
      </c>
      <c r="Q20" s="12">
        <f t="shared" si="4"/>
        <v>4.8742138364779877E-2</v>
      </c>
    </row>
    <row r="21" spans="1:17" x14ac:dyDescent="0.35">
      <c r="A21" s="7">
        <v>0.32</v>
      </c>
      <c r="B21" s="8">
        <v>102</v>
      </c>
      <c r="C21" s="8">
        <v>39307</v>
      </c>
      <c r="D21" s="8">
        <v>129</v>
      </c>
      <c r="E21" s="8">
        <v>2442</v>
      </c>
      <c r="F21" s="9">
        <v>93.9</v>
      </c>
      <c r="G21" s="9">
        <v>4</v>
      </c>
      <c r="H21" s="9">
        <v>99.7</v>
      </c>
      <c r="I21" s="9">
        <v>44.2</v>
      </c>
      <c r="J21" s="9">
        <v>94.2</v>
      </c>
      <c r="K21">
        <f t="shared" si="0"/>
        <v>41980</v>
      </c>
      <c r="L21" s="10">
        <f t="shared" si="1"/>
        <v>0.93875655073844688</v>
      </c>
      <c r="M21" s="11">
        <f t="shared" si="2"/>
        <v>4.0094339622641507E-2</v>
      </c>
      <c r="N21" s="12">
        <f>B21/(B21+E21)</f>
        <v>4.0094339622641507E-2</v>
      </c>
      <c r="O21" s="12">
        <f>C21/(C21+D21)</f>
        <v>0.99672887716806979</v>
      </c>
      <c r="P21">
        <f t="shared" si="3"/>
        <v>3.2711228319302066E-3</v>
      </c>
      <c r="Q21" s="12">
        <f t="shared" si="4"/>
        <v>4.0094339622641507E-2</v>
      </c>
    </row>
    <row r="22" spans="1:17" x14ac:dyDescent="0.35">
      <c r="A22" s="7">
        <v>0.34</v>
      </c>
      <c r="B22" s="8">
        <v>83</v>
      </c>
      <c r="C22" s="8">
        <v>39339</v>
      </c>
      <c r="D22" s="8">
        <v>97</v>
      </c>
      <c r="E22" s="8">
        <v>2461</v>
      </c>
      <c r="F22" s="9">
        <v>93.9</v>
      </c>
      <c r="G22" s="9">
        <v>3.3</v>
      </c>
      <c r="H22" s="9">
        <v>99.8</v>
      </c>
      <c r="I22" s="9">
        <v>46.1</v>
      </c>
      <c r="J22" s="9">
        <v>94.1</v>
      </c>
      <c r="K22">
        <f t="shared" si="0"/>
        <v>41980</v>
      </c>
      <c r="L22" s="10">
        <f t="shared" si="1"/>
        <v>0.93906622201048118</v>
      </c>
      <c r="M22" s="11">
        <f t="shared" si="2"/>
        <v>3.2625786163522012E-2</v>
      </c>
      <c r="N22" s="12">
        <f>B22/(B22+E22)</f>
        <v>3.2625786163522012E-2</v>
      </c>
      <c r="O22" s="12">
        <f>C22/(C22+D22)</f>
        <v>0.99754031849071911</v>
      </c>
      <c r="P22">
        <f t="shared" si="3"/>
        <v>2.4596815092808866E-3</v>
      </c>
      <c r="Q22" s="12">
        <f t="shared" si="4"/>
        <v>3.2625786163522012E-2</v>
      </c>
    </row>
    <row r="23" spans="1:17" x14ac:dyDescent="0.35">
      <c r="A23" s="7">
        <v>0.36</v>
      </c>
      <c r="B23" s="8">
        <v>61</v>
      </c>
      <c r="C23" s="8">
        <v>39372</v>
      </c>
      <c r="D23" s="8">
        <v>64</v>
      </c>
      <c r="E23" s="8">
        <v>2483</v>
      </c>
      <c r="F23" s="9">
        <v>93.9</v>
      </c>
      <c r="G23" s="9">
        <v>2.4</v>
      </c>
      <c r="H23" s="9">
        <v>99.8</v>
      </c>
      <c r="I23" s="9">
        <v>48.8</v>
      </c>
      <c r="J23" s="9">
        <v>94.1</v>
      </c>
      <c r="K23">
        <f t="shared" si="0"/>
        <v>41980</v>
      </c>
      <c r="L23" s="10">
        <f>(B23+C23)/(D23+B23+E23+C23)</f>
        <v>0.93932825154835631</v>
      </c>
      <c r="M23" s="11">
        <f t="shared" si="2"/>
        <v>2.3977987421383649E-2</v>
      </c>
      <c r="N23" s="12">
        <f>B23/(B23+E23)</f>
        <v>2.3977987421383649E-2</v>
      </c>
      <c r="O23" s="12">
        <f>C23/(C23+D23)</f>
        <v>0.99837711735470125</v>
      </c>
      <c r="P23">
        <f t="shared" si="3"/>
        <v>1.622882645298751E-3</v>
      </c>
      <c r="Q23" s="12">
        <f t="shared" si="4"/>
        <v>2.3977987421383649E-2</v>
      </c>
    </row>
    <row r="24" spans="1:17" x14ac:dyDescent="0.35">
      <c r="A24" s="7">
        <v>0.38</v>
      </c>
      <c r="B24" s="8">
        <v>49</v>
      </c>
      <c r="C24" s="8">
        <v>39392</v>
      </c>
      <c r="D24" s="8">
        <v>44</v>
      </c>
      <c r="E24" s="8">
        <v>2495</v>
      </c>
      <c r="F24" s="9">
        <v>94</v>
      </c>
      <c r="G24" s="9">
        <v>1.9</v>
      </c>
      <c r="H24" s="9">
        <v>99.9</v>
      </c>
      <c r="I24" s="9">
        <v>52.7</v>
      </c>
      <c r="J24" s="9">
        <v>94</v>
      </c>
      <c r="K24">
        <f t="shared" si="0"/>
        <v>41980</v>
      </c>
      <c r="L24" s="10">
        <f t="shared" si="1"/>
        <v>0.93951881848499286</v>
      </c>
      <c r="M24" s="11">
        <f t="shared" si="2"/>
        <v>1.9261006289308175E-2</v>
      </c>
      <c r="N24" s="12">
        <f>B24/(B24+E24)</f>
        <v>1.9261006289308175E-2</v>
      </c>
      <c r="O24" s="12">
        <f>C24/(C24+D24)</f>
        <v>0.99888426818135712</v>
      </c>
      <c r="P24">
        <f t="shared" si="3"/>
        <v>1.1157318186428844E-3</v>
      </c>
      <c r="Q24" s="12">
        <f t="shared" si="4"/>
        <v>1.9261006289308175E-2</v>
      </c>
    </row>
    <row r="25" spans="1:17" x14ac:dyDescent="0.35">
      <c r="A25" s="7">
        <v>0.4</v>
      </c>
      <c r="B25" s="8">
        <v>34</v>
      </c>
      <c r="C25" s="8">
        <v>39404</v>
      </c>
      <c r="D25" s="8">
        <v>32</v>
      </c>
      <c r="E25" s="8">
        <v>2510</v>
      </c>
      <c r="F25" s="9">
        <v>93.9</v>
      </c>
      <c r="G25" s="9">
        <v>1.3</v>
      </c>
      <c r="H25" s="9">
        <v>99.9</v>
      </c>
      <c r="I25" s="9">
        <v>51.5</v>
      </c>
      <c r="J25" s="9">
        <v>94</v>
      </c>
      <c r="K25">
        <f t="shared" si="0"/>
        <v>41980</v>
      </c>
      <c r="L25" s="10">
        <f t="shared" si="1"/>
        <v>0.93944735588375416</v>
      </c>
      <c r="M25" s="11">
        <f t="shared" si="2"/>
        <v>1.3364779874213837E-2</v>
      </c>
    </row>
    <row r="26" spans="1:17" x14ac:dyDescent="0.35">
      <c r="A26" s="7">
        <v>0.42</v>
      </c>
      <c r="B26" s="8">
        <v>25</v>
      </c>
      <c r="C26" s="8">
        <v>39412</v>
      </c>
      <c r="D26" s="8">
        <v>24</v>
      </c>
      <c r="E26" s="8">
        <v>2519</v>
      </c>
      <c r="F26" s="9">
        <v>93.9</v>
      </c>
      <c r="G26" s="9">
        <v>1</v>
      </c>
      <c r="H26" s="9">
        <v>99.9</v>
      </c>
      <c r="I26" s="9">
        <v>51</v>
      </c>
      <c r="J26" s="9">
        <v>94</v>
      </c>
      <c r="K26">
        <f t="shared" si="0"/>
        <v>41980</v>
      </c>
      <c r="L26" s="10">
        <f t="shared" si="1"/>
        <v>0.93942353501667464</v>
      </c>
      <c r="M26" s="11">
        <f t="shared" si="2"/>
        <v>9.8270440251572323E-3</v>
      </c>
    </row>
    <row r="27" spans="1:17" x14ac:dyDescent="0.35">
      <c r="A27" s="7">
        <v>0.44</v>
      </c>
      <c r="B27" s="8">
        <v>18</v>
      </c>
      <c r="C27" s="8">
        <v>39419</v>
      </c>
      <c r="D27" s="8">
        <v>17</v>
      </c>
      <c r="E27" s="8">
        <v>2526</v>
      </c>
      <c r="F27" s="9">
        <v>93.9</v>
      </c>
      <c r="G27" s="9">
        <v>0.7</v>
      </c>
      <c r="H27" s="9">
        <v>100</v>
      </c>
      <c r="I27" s="9">
        <v>51.4</v>
      </c>
      <c r="J27" s="9">
        <v>94</v>
      </c>
      <c r="K27">
        <f t="shared" si="0"/>
        <v>41980</v>
      </c>
      <c r="L27" s="10">
        <f t="shared" si="1"/>
        <v>0.93942353501667464</v>
      </c>
      <c r="M27" s="11">
        <f t="shared" si="2"/>
        <v>7.0754716981132077E-3</v>
      </c>
    </row>
    <row r="28" spans="1:17" x14ac:dyDescent="0.35">
      <c r="A28" s="7">
        <v>0.46</v>
      </c>
      <c r="B28" s="8">
        <v>16</v>
      </c>
      <c r="C28" s="8">
        <v>39420</v>
      </c>
      <c r="D28" s="8">
        <v>16</v>
      </c>
      <c r="E28" s="8">
        <v>2528</v>
      </c>
      <c r="F28" s="9">
        <v>93.9</v>
      </c>
      <c r="G28" s="9">
        <v>0.6</v>
      </c>
      <c r="H28" s="9">
        <v>100</v>
      </c>
      <c r="I28" s="9">
        <v>50</v>
      </c>
      <c r="J28" s="9">
        <v>94</v>
      </c>
      <c r="K28">
        <f t="shared" si="0"/>
        <v>41980</v>
      </c>
      <c r="L28" s="10">
        <f t="shared" si="1"/>
        <v>0.939399714149595</v>
      </c>
      <c r="M28" s="11">
        <f t="shared" si="2"/>
        <v>6.2893081761006293E-3</v>
      </c>
    </row>
    <row r="29" spans="1:17" x14ac:dyDescent="0.35">
      <c r="A29" s="7">
        <v>0.48</v>
      </c>
      <c r="B29" s="8">
        <v>11</v>
      </c>
      <c r="C29" s="8">
        <v>39424</v>
      </c>
      <c r="D29" s="8">
        <v>12</v>
      </c>
      <c r="E29" s="8">
        <v>2533</v>
      </c>
      <c r="F29" s="9">
        <v>93.9</v>
      </c>
      <c r="G29" s="9">
        <v>0.4</v>
      </c>
      <c r="H29" s="9">
        <v>100</v>
      </c>
      <c r="I29" s="9">
        <v>47.8</v>
      </c>
      <c r="J29" s="9">
        <v>94</v>
      </c>
      <c r="K29">
        <f t="shared" si="0"/>
        <v>41980</v>
      </c>
      <c r="L29" s="10">
        <f t="shared" si="1"/>
        <v>0.93937589328251547</v>
      </c>
      <c r="M29" s="11">
        <f t="shared" si="2"/>
        <v>4.3238993710691823E-3</v>
      </c>
    </row>
    <row r="30" spans="1:17" x14ac:dyDescent="0.35">
      <c r="A30" s="7">
        <v>0.5</v>
      </c>
      <c r="B30" s="8">
        <v>8</v>
      </c>
      <c r="C30" s="8">
        <v>39425</v>
      </c>
      <c r="D30" s="8">
        <v>11</v>
      </c>
      <c r="E30" s="8">
        <v>2536</v>
      </c>
      <c r="F30" s="9">
        <v>93.9</v>
      </c>
      <c r="G30" s="9">
        <v>0.3</v>
      </c>
      <c r="H30" s="9">
        <v>100</v>
      </c>
      <c r="I30" s="9">
        <v>42.1</v>
      </c>
      <c r="J30" s="9">
        <v>94</v>
      </c>
      <c r="K30">
        <f t="shared" si="0"/>
        <v>41980</v>
      </c>
      <c r="L30" s="10">
        <f t="shared" si="1"/>
        <v>0.93932825154835631</v>
      </c>
      <c r="M30" s="11">
        <f t="shared" si="2"/>
        <v>3.1446540880503146E-3</v>
      </c>
    </row>
    <row r="31" spans="1:17" x14ac:dyDescent="0.35">
      <c r="A31" s="7">
        <v>0.52</v>
      </c>
      <c r="B31" s="8">
        <v>7</v>
      </c>
      <c r="C31" s="8">
        <v>39427</v>
      </c>
      <c r="D31" s="8">
        <v>9</v>
      </c>
      <c r="E31" s="8">
        <v>2537</v>
      </c>
      <c r="F31" s="9">
        <v>93.9</v>
      </c>
      <c r="G31" s="9">
        <v>0.3</v>
      </c>
      <c r="H31" s="9">
        <v>100</v>
      </c>
      <c r="I31" s="9">
        <v>43.8</v>
      </c>
      <c r="J31" s="9">
        <v>94</v>
      </c>
      <c r="K31">
        <f t="shared" si="0"/>
        <v>41980</v>
      </c>
      <c r="L31" s="10">
        <f t="shared" si="1"/>
        <v>0.93935207241543595</v>
      </c>
      <c r="M31" s="11">
        <f t="shared" si="2"/>
        <v>2.751572327044025E-3</v>
      </c>
    </row>
    <row r="32" spans="1:17" x14ac:dyDescent="0.35">
      <c r="A32" s="7">
        <v>0.54</v>
      </c>
      <c r="B32" s="8">
        <v>6</v>
      </c>
      <c r="C32" s="8">
        <v>39431</v>
      </c>
      <c r="D32" s="8">
        <v>5</v>
      </c>
      <c r="E32" s="8">
        <v>2538</v>
      </c>
      <c r="F32" s="9">
        <v>93.9</v>
      </c>
      <c r="G32" s="9">
        <v>0.2</v>
      </c>
      <c r="H32" s="9">
        <v>100</v>
      </c>
      <c r="I32" s="9">
        <v>54.5</v>
      </c>
      <c r="J32" s="9">
        <v>94</v>
      </c>
      <c r="K32">
        <f t="shared" si="0"/>
        <v>41980</v>
      </c>
      <c r="L32" s="10">
        <f t="shared" si="1"/>
        <v>0.93942353501667464</v>
      </c>
      <c r="M32" s="11">
        <f t="shared" si="2"/>
        <v>2.3584905660377358E-3</v>
      </c>
    </row>
    <row r="33" spans="1:13" x14ac:dyDescent="0.35">
      <c r="A33" s="7">
        <v>0.56000000000000005</v>
      </c>
      <c r="B33" s="8">
        <v>3</v>
      </c>
      <c r="C33" s="8">
        <v>39432</v>
      </c>
      <c r="D33" s="8">
        <v>4</v>
      </c>
      <c r="E33" s="8">
        <v>2541</v>
      </c>
      <c r="F33" s="9">
        <v>93.9</v>
      </c>
      <c r="G33" s="9">
        <v>0.1</v>
      </c>
      <c r="H33" s="9">
        <v>100</v>
      </c>
      <c r="I33" s="9">
        <v>42.9</v>
      </c>
      <c r="J33" s="9">
        <v>93.9</v>
      </c>
      <c r="K33">
        <f t="shared" si="0"/>
        <v>41980</v>
      </c>
      <c r="L33" s="10">
        <f t="shared" si="1"/>
        <v>0.93937589328251547</v>
      </c>
      <c r="M33" s="11">
        <f t="shared" si="2"/>
        <v>1.1792452830188679E-3</v>
      </c>
    </row>
    <row r="34" spans="1:13" x14ac:dyDescent="0.35">
      <c r="A34" s="7">
        <v>0.57999999999999996</v>
      </c>
      <c r="B34" s="8">
        <v>3</v>
      </c>
      <c r="C34" s="8">
        <v>39432</v>
      </c>
      <c r="D34" s="8">
        <v>4</v>
      </c>
      <c r="E34" s="8">
        <v>2541</v>
      </c>
      <c r="F34" s="9">
        <v>93.9</v>
      </c>
      <c r="G34" s="9">
        <v>0.1</v>
      </c>
      <c r="H34" s="9">
        <v>100</v>
      </c>
      <c r="I34" s="9">
        <v>42.9</v>
      </c>
      <c r="J34" s="9">
        <v>93.9</v>
      </c>
      <c r="K34">
        <f t="shared" si="0"/>
        <v>41980</v>
      </c>
      <c r="L34" s="10">
        <f t="shared" si="1"/>
        <v>0.93937589328251547</v>
      </c>
      <c r="M34" s="11">
        <f t="shared" si="2"/>
        <v>1.1792452830188679E-3</v>
      </c>
    </row>
    <row r="35" spans="1:13" x14ac:dyDescent="0.35">
      <c r="A35" s="7">
        <v>0.6</v>
      </c>
      <c r="B35" s="8">
        <v>1</v>
      </c>
      <c r="C35" s="8">
        <v>39432</v>
      </c>
      <c r="D35" s="8">
        <v>4</v>
      </c>
      <c r="E35" s="8">
        <v>2543</v>
      </c>
      <c r="F35" s="9">
        <v>93.9</v>
      </c>
      <c r="G35" s="9">
        <v>0</v>
      </c>
      <c r="H35" s="9">
        <v>100</v>
      </c>
      <c r="I35" s="9">
        <v>20</v>
      </c>
      <c r="J35" s="9">
        <v>93.9</v>
      </c>
      <c r="K35">
        <f t="shared" si="0"/>
        <v>41980</v>
      </c>
      <c r="L35" s="10">
        <f t="shared" si="1"/>
        <v>0.93932825154835631</v>
      </c>
      <c r="M35" s="11">
        <f t="shared" si="2"/>
        <v>3.9308176100628933E-4</v>
      </c>
    </row>
    <row r="36" spans="1:13" x14ac:dyDescent="0.35">
      <c r="A36" s="7">
        <v>0.62</v>
      </c>
      <c r="B36" s="8">
        <v>0</v>
      </c>
      <c r="C36" s="8">
        <v>39432</v>
      </c>
      <c r="D36" s="8">
        <v>4</v>
      </c>
      <c r="E36" s="8">
        <v>2544</v>
      </c>
      <c r="F36" s="9">
        <v>93.9</v>
      </c>
      <c r="G36" s="9">
        <v>0</v>
      </c>
      <c r="H36" s="9">
        <v>100</v>
      </c>
      <c r="I36" s="9">
        <v>0</v>
      </c>
      <c r="J36" s="9">
        <v>93.9</v>
      </c>
      <c r="K36">
        <f t="shared" si="0"/>
        <v>41980</v>
      </c>
      <c r="L36" s="10">
        <f t="shared" si="1"/>
        <v>0.93930443068127678</v>
      </c>
      <c r="M36" s="11">
        <f t="shared" si="2"/>
        <v>0</v>
      </c>
    </row>
    <row r="37" spans="1:13" x14ac:dyDescent="0.35">
      <c r="A37" s="7">
        <v>0.64</v>
      </c>
      <c r="B37" s="8">
        <v>0</v>
      </c>
      <c r="C37" s="8">
        <v>39433</v>
      </c>
      <c r="D37" s="8">
        <v>3</v>
      </c>
      <c r="E37" s="8">
        <v>2544</v>
      </c>
      <c r="F37" s="9">
        <v>93.9</v>
      </c>
      <c r="G37" s="9">
        <v>0</v>
      </c>
      <c r="H37" s="9">
        <v>100</v>
      </c>
      <c r="I37" s="9">
        <v>0</v>
      </c>
      <c r="J37" s="9">
        <v>93.9</v>
      </c>
      <c r="K37">
        <f t="shared" si="0"/>
        <v>41980</v>
      </c>
      <c r="L37" s="10">
        <f t="shared" si="1"/>
        <v>0.93932825154835631</v>
      </c>
      <c r="M37" s="11">
        <f t="shared" si="2"/>
        <v>0</v>
      </c>
    </row>
    <row r="38" spans="1:13" x14ac:dyDescent="0.35">
      <c r="A38" s="7">
        <v>0.66</v>
      </c>
      <c r="B38" s="8">
        <v>0</v>
      </c>
      <c r="C38" s="8">
        <v>39434</v>
      </c>
      <c r="D38" s="8">
        <v>2</v>
      </c>
      <c r="E38" s="8">
        <v>2544</v>
      </c>
      <c r="F38" s="9">
        <v>93.9</v>
      </c>
      <c r="G38" s="9">
        <v>0</v>
      </c>
      <c r="H38" s="9">
        <v>100</v>
      </c>
      <c r="I38" s="9">
        <v>0</v>
      </c>
      <c r="J38" s="9">
        <v>93.9</v>
      </c>
      <c r="K38">
        <f t="shared" si="0"/>
        <v>41980</v>
      </c>
      <c r="L38" s="10">
        <f t="shared" si="1"/>
        <v>0.93935207241543595</v>
      </c>
      <c r="M38" s="11">
        <f t="shared" si="2"/>
        <v>0</v>
      </c>
    </row>
    <row r="39" spans="1:13" x14ac:dyDescent="0.35">
      <c r="A39" s="7">
        <v>0.68</v>
      </c>
      <c r="B39" s="8">
        <v>0</v>
      </c>
      <c r="C39" s="8">
        <v>39434</v>
      </c>
      <c r="D39" s="8">
        <v>2</v>
      </c>
      <c r="E39" s="8">
        <v>2544</v>
      </c>
      <c r="F39" s="9">
        <v>93.9</v>
      </c>
      <c r="G39" s="9">
        <v>0</v>
      </c>
      <c r="H39" s="9">
        <v>100</v>
      </c>
      <c r="I39" s="9">
        <v>0</v>
      </c>
      <c r="J39" s="9">
        <v>93.9</v>
      </c>
      <c r="K39">
        <f t="shared" si="0"/>
        <v>41980</v>
      </c>
      <c r="L39" s="10">
        <f t="shared" si="1"/>
        <v>0.93935207241543595</v>
      </c>
      <c r="M39" s="11">
        <f t="shared" si="2"/>
        <v>0</v>
      </c>
    </row>
    <row r="40" spans="1:13" x14ac:dyDescent="0.35">
      <c r="A40" s="7">
        <v>0.7</v>
      </c>
      <c r="B40" s="8">
        <v>0</v>
      </c>
      <c r="C40" s="8">
        <v>39434</v>
      </c>
      <c r="D40" s="8">
        <v>2</v>
      </c>
      <c r="E40" s="8">
        <v>2544</v>
      </c>
      <c r="F40" s="9">
        <v>93.9</v>
      </c>
      <c r="G40" s="9">
        <v>0</v>
      </c>
      <c r="H40" s="9">
        <v>100</v>
      </c>
      <c r="I40" s="9">
        <v>0</v>
      </c>
      <c r="J40" s="9">
        <v>93.9</v>
      </c>
      <c r="K40">
        <f t="shared" si="0"/>
        <v>41980</v>
      </c>
      <c r="L40" s="10">
        <f t="shared" si="1"/>
        <v>0.93935207241543595</v>
      </c>
      <c r="M40" s="11">
        <f t="shared" si="2"/>
        <v>0</v>
      </c>
    </row>
    <row r="41" spans="1:13" x14ac:dyDescent="0.35">
      <c r="A41" s="7">
        <v>0.72</v>
      </c>
      <c r="B41" s="8">
        <v>0</v>
      </c>
      <c r="C41" s="8">
        <v>39434</v>
      </c>
      <c r="D41" s="8">
        <v>2</v>
      </c>
      <c r="E41" s="8">
        <v>2544</v>
      </c>
      <c r="F41" s="9">
        <v>93.9</v>
      </c>
      <c r="G41" s="9">
        <v>0</v>
      </c>
      <c r="H41" s="9">
        <v>100</v>
      </c>
      <c r="I41" s="9">
        <v>0</v>
      </c>
      <c r="J41" s="9">
        <v>93.9</v>
      </c>
      <c r="K41">
        <f t="shared" si="0"/>
        <v>41980</v>
      </c>
      <c r="L41" s="10">
        <f t="shared" si="1"/>
        <v>0.93935207241543595</v>
      </c>
      <c r="M41" s="11">
        <f t="shared" si="2"/>
        <v>0</v>
      </c>
    </row>
    <row r="42" spans="1:13" x14ac:dyDescent="0.35">
      <c r="A42" s="7">
        <v>0.74</v>
      </c>
      <c r="B42" s="8">
        <v>0</v>
      </c>
      <c r="C42" s="8">
        <v>39434</v>
      </c>
      <c r="D42" s="8">
        <v>2</v>
      </c>
      <c r="E42" s="8">
        <v>2544</v>
      </c>
      <c r="F42" s="9">
        <v>93.9</v>
      </c>
      <c r="G42" s="9">
        <v>0</v>
      </c>
      <c r="H42" s="9">
        <v>100</v>
      </c>
      <c r="I42" s="9">
        <v>0</v>
      </c>
      <c r="J42" s="9">
        <v>93.9</v>
      </c>
      <c r="K42">
        <f t="shared" si="0"/>
        <v>41980</v>
      </c>
      <c r="L42" s="10">
        <f t="shared" si="1"/>
        <v>0.93935207241543595</v>
      </c>
      <c r="M42" s="11">
        <f t="shared" si="2"/>
        <v>0</v>
      </c>
    </row>
    <row r="43" spans="1:13" x14ac:dyDescent="0.35">
      <c r="A43" s="7">
        <v>0.76</v>
      </c>
      <c r="B43" s="8">
        <v>0</v>
      </c>
      <c r="C43" s="8">
        <v>39434</v>
      </c>
      <c r="D43" s="8">
        <v>2</v>
      </c>
      <c r="E43" s="8">
        <v>2544</v>
      </c>
      <c r="F43" s="9">
        <v>93.9</v>
      </c>
      <c r="G43" s="9">
        <v>0</v>
      </c>
      <c r="H43" s="9">
        <v>100</v>
      </c>
      <c r="I43" s="9">
        <v>0</v>
      </c>
      <c r="J43" s="9">
        <v>93.9</v>
      </c>
      <c r="K43">
        <f t="shared" si="0"/>
        <v>41980</v>
      </c>
      <c r="L43" s="10">
        <f t="shared" si="1"/>
        <v>0.93935207241543595</v>
      </c>
      <c r="M43" s="11">
        <f t="shared" si="2"/>
        <v>0</v>
      </c>
    </row>
    <row r="44" spans="1:13" x14ac:dyDescent="0.35">
      <c r="A44" s="7">
        <v>0.78</v>
      </c>
      <c r="B44" s="8">
        <v>0</v>
      </c>
      <c r="C44" s="8">
        <v>39434</v>
      </c>
      <c r="D44" s="8">
        <v>2</v>
      </c>
      <c r="E44" s="8">
        <v>2544</v>
      </c>
      <c r="F44" s="9">
        <v>93.9</v>
      </c>
      <c r="G44" s="9">
        <v>0</v>
      </c>
      <c r="H44" s="9">
        <v>100</v>
      </c>
      <c r="I44" s="9">
        <v>0</v>
      </c>
      <c r="J44" s="9">
        <v>93.9</v>
      </c>
      <c r="K44">
        <f t="shared" si="0"/>
        <v>41980</v>
      </c>
      <c r="L44" s="10">
        <f t="shared" si="1"/>
        <v>0.93935207241543595</v>
      </c>
      <c r="M44" s="11">
        <f t="shared" si="2"/>
        <v>0</v>
      </c>
    </row>
    <row r="45" spans="1:13" x14ac:dyDescent="0.35">
      <c r="A45" s="7">
        <v>0.8</v>
      </c>
      <c r="B45" s="8">
        <v>0</v>
      </c>
      <c r="C45" s="8">
        <v>39434</v>
      </c>
      <c r="D45" s="8">
        <v>2</v>
      </c>
      <c r="E45" s="8">
        <v>2544</v>
      </c>
      <c r="F45" s="9">
        <v>93.9</v>
      </c>
      <c r="G45" s="9">
        <v>0</v>
      </c>
      <c r="H45" s="9">
        <v>100</v>
      </c>
      <c r="I45" s="9">
        <v>0</v>
      </c>
      <c r="J45" s="9">
        <v>93.9</v>
      </c>
      <c r="K45">
        <f t="shared" si="0"/>
        <v>41980</v>
      </c>
      <c r="L45" s="10">
        <f t="shared" si="1"/>
        <v>0.93935207241543595</v>
      </c>
      <c r="M45" s="11">
        <f t="shared" si="2"/>
        <v>0</v>
      </c>
    </row>
    <row r="46" spans="1:13" x14ac:dyDescent="0.35">
      <c r="A46" s="7">
        <v>0.82</v>
      </c>
      <c r="B46" s="8">
        <v>0</v>
      </c>
      <c r="C46" s="8">
        <v>39434</v>
      </c>
      <c r="D46" s="8">
        <v>2</v>
      </c>
      <c r="E46" s="8">
        <v>2544</v>
      </c>
      <c r="F46" s="9">
        <v>93.9</v>
      </c>
      <c r="G46" s="9">
        <v>0</v>
      </c>
      <c r="H46" s="9">
        <v>100</v>
      </c>
      <c r="I46" s="9">
        <v>0</v>
      </c>
      <c r="J46" s="9">
        <v>93.9</v>
      </c>
      <c r="K46">
        <f t="shared" si="0"/>
        <v>41980</v>
      </c>
      <c r="L46" s="10">
        <f t="shared" si="1"/>
        <v>0.93935207241543595</v>
      </c>
      <c r="M46" s="11">
        <f t="shared" si="2"/>
        <v>0</v>
      </c>
    </row>
    <row r="47" spans="1:13" x14ac:dyDescent="0.35">
      <c r="A47" s="7">
        <v>0.84</v>
      </c>
      <c r="B47" s="8">
        <v>0</v>
      </c>
      <c r="C47" s="8">
        <v>39434</v>
      </c>
      <c r="D47" s="8">
        <v>2</v>
      </c>
      <c r="E47" s="8">
        <v>2544</v>
      </c>
      <c r="F47" s="9">
        <v>93.9</v>
      </c>
      <c r="G47" s="9">
        <v>0</v>
      </c>
      <c r="H47" s="9">
        <v>100</v>
      </c>
      <c r="I47" s="9">
        <v>0</v>
      </c>
      <c r="J47" s="9">
        <v>93.9</v>
      </c>
      <c r="K47">
        <f t="shared" si="0"/>
        <v>41980</v>
      </c>
      <c r="L47" s="10">
        <f t="shared" si="1"/>
        <v>0.93935207241543595</v>
      </c>
      <c r="M47" s="11">
        <f t="shared" si="2"/>
        <v>0</v>
      </c>
    </row>
    <row r="48" spans="1:13" x14ac:dyDescent="0.35">
      <c r="A48" s="7">
        <v>0.86</v>
      </c>
      <c r="B48" s="8">
        <v>0</v>
      </c>
      <c r="C48" s="8">
        <v>39434</v>
      </c>
      <c r="D48" s="8">
        <v>2</v>
      </c>
      <c r="E48" s="8">
        <v>2544</v>
      </c>
      <c r="F48" s="9">
        <v>93.9</v>
      </c>
      <c r="G48" s="9">
        <v>0</v>
      </c>
      <c r="H48" s="9">
        <v>100</v>
      </c>
      <c r="I48" s="9">
        <v>0</v>
      </c>
      <c r="J48" s="9">
        <v>93.9</v>
      </c>
      <c r="K48">
        <f t="shared" si="0"/>
        <v>41980</v>
      </c>
      <c r="L48" s="10">
        <f t="shared" si="1"/>
        <v>0.93935207241543595</v>
      </c>
      <c r="M48" s="11">
        <f t="shared" si="2"/>
        <v>0</v>
      </c>
    </row>
    <row r="49" spans="1:13" x14ac:dyDescent="0.35">
      <c r="A49" s="7">
        <v>0.88</v>
      </c>
      <c r="B49" s="8">
        <v>0</v>
      </c>
      <c r="C49" s="8">
        <v>39435</v>
      </c>
      <c r="D49" s="8">
        <v>1</v>
      </c>
      <c r="E49" s="8">
        <v>2544</v>
      </c>
      <c r="F49" s="9">
        <v>93.9</v>
      </c>
      <c r="G49" s="9">
        <v>0</v>
      </c>
      <c r="H49" s="9">
        <v>100</v>
      </c>
      <c r="I49" s="9">
        <v>0</v>
      </c>
      <c r="J49" s="9">
        <v>93.9</v>
      </c>
      <c r="K49">
        <f t="shared" si="0"/>
        <v>41980</v>
      </c>
      <c r="L49" s="10">
        <f t="shared" si="1"/>
        <v>0.93937589328251547</v>
      </c>
      <c r="M49" s="11">
        <f t="shared" si="2"/>
        <v>0</v>
      </c>
    </row>
    <row r="50" spans="1:13" x14ac:dyDescent="0.35">
      <c r="A50" s="7">
        <v>0.9</v>
      </c>
      <c r="B50" s="8">
        <v>0</v>
      </c>
      <c r="C50" s="8">
        <v>39435</v>
      </c>
      <c r="D50" s="8">
        <v>1</v>
      </c>
      <c r="E50" s="8">
        <v>2544</v>
      </c>
      <c r="F50" s="9">
        <v>93.9</v>
      </c>
      <c r="G50" s="9">
        <v>0</v>
      </c>
      <c r="H50" s="9">
        <v>100</v>
      </c>
      <c r="I50" s="9">
        <v>0</v>
      </c>
      <c r="J50" s="9">
        <v>93.9</v>
      </c>
      <c r="K50">
        <f t="shared" si="0"/>
        <v>41980</v>
      </c>
      <c r="L50" s="11"/>
      <c r="M50" s="11">
        <f t="shared" si="2"/>
        <v>0</v>
      </c>
    </row>
    <row r="51" spans="1:13" x14ac:dyDescent="0.35">
      <c r="A51" s="7">
        <v>0.92</v>
      </c>
      <c r="B51" s="8">
        <v>0</v>
      </c>
      <c r="C51" s="8">
        <v>39435</v>
      </c>
      <c r="D51" s="8">
        <v>1</v>
      </c>
      <c r="E51" s="8">
        <v>2544</v>
      </c>
      <c r="F51" s="9">
        <v>93.9</v>
      </c>
      <c r="G51" s="9">
        <v>0</v>
      </c>
      <c r="H51" s="9">
        <v>100</v>
      </c>
      <c r="I51" s="9">
        <v>0</v>
      </c>
      <c r="J51" s="9">
        <v>93.9</v>
      </c>
      <c r="K51">
        <f t="shared" si="0"/>
        <v>41980</v>
      </c>
      <c r="M51">
        <f t="shared" si="2"/>
        <v>0</v>
      </c>
    </row>
    <row r="52" spans="1:13" x14ac:dyDescent="0.35">
      <c r="A52" s="7">
        <v>0.94</v>
      </c>
      <c r="B52" s="8">
        <v>0</v>
      </c>
      <c r="C52" s="8">
        <v>39435</v>
      </c>
      <c r="D52" s="8">
        <v>1</v>
      </c>
      <c r="E52" s="8">
        <v>2544</v>
      </c>
      <c r="F52" s="9">
        <v>93.9</v>
      </c>
      <c r="G52" s="9">
        <v>0</v>
      </c>
      <c r="H52" s="9">
        <v>100</v>
      </c>
      <c r="I52" s="9">
        <v>0</v>
      </c>
      <c r="J52" s="9">
        <v>93.9</v>
      </c>
      <c r="K52">
        <f t="shared" si="0"/>
        <v>41980</v>
      </c>
    </row>
    <row r="53" spans="1:13" x14ac:dyDescent="0.35">
      <c r="A53" s="7">
        <v>0.96</v>
      </c>
      <c r="B53" s="8">
        <v>0</v>
      </c>
      <c r="C53" s="8">
        <v>39435</v>
      </c>
      <c r="D53" s="8">
        <v>1</v>
      </c>
      <c r="E53" s="8">
        <v>2544</v>
      </c>
      <c r="F53" s="9">
        <v>93.9</v>
      </c>
      <c r="G53" s="9">
        <v>0</v>
      </c>
      <c r="H53" s="9">
        <v>100</v>
      </c>
      <c r="I53" s="9">
        <v>0</v>
      </c>
      <c r="J53" s="9">
        <v>93.9</v>
      </c>
      <c r="K53">
        <f t="shared" si="0"/>
        <v>41980</v>
      </c>
    </row>
    <row r="54" spans="1:13" x14ac:dyDescent="0.35">
      <c r="A54" s="7">
        <v>0.98</v>
      </c>
      <c r="B54" s="8">
        <v>0</v>
      </c>
      <c r="C54" s="8">
        <v>39435</v>
      </c>
      <c r="D54" s="8">
        <v>1</v>
      </c>
      <c r="E54" s="8">
        <v>2544</v>
      </c>
      <c r="F54" s="9">
        <v>93.9</v>
      </c>
      <c r="G54" s="9">
        <v>0</v>
      </c>
      <c r="H54" s="9">
        <v>100</v>
      </c>
      <c r="I54" s="9">
        <v>0</v>
      </c>
      <c r="J54" s="9">
        <v>93.9</v>
      </c>
      <c r="K54">
        <f t="shared" si="0"/>
        <v>41980</v>
      </c>
    </row>
    <row r="55" spans="1:13" x14ac:dyDescent="0.35">
      <c r="A55" s="7">
        <v>1</v>
      </c>
      <c r="B55" s="8">
        <v>0</v>
      </c>
      <c r="C55" s="8">
        <v>39436</v>
      </c>
      <c r="D55" s="8">
        <v>0</v>
      </c>
      <c r="E55" s="8">
        <v>2544</v>
      </c>
      <c r="F55" s="9">
        <v>93.9</v>
      </c>
      <c r="G55" s="9">
        <v>0</v>
      </c>
      <c r="H55" s="9">
        <v>100</v>
      </c>
      <c r="I55" s="9" t="s">
        <v>24</v>
      </c>
      <c r="J55" s="9">
        <v>93.9</v>
      </c>
      <c r="K55">
        <f t="shared" si="0"/>
        <v>41980</v>
      </c>
    </row>
  </sheetData>
  <mergeCells count="7">
    <mergeCell ref="A1:J1"/>
    <mergeCell ref="B2:C2"/>
    <mergeCell ref="D2:E2"/>
    <mergeCell ref="F2:J2"/>
    <mergeCell ref="B3:B4"/>
    <mergeCell ref="D3:D4"/>
    <mergeCell ref="F3:F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c41f9e14-747a-4701-9185-ab88c25f6c27" xsi:nil="true"/>
    <CultureName xmlns="c41f9e14-747a-4701-9185-ab88c25f6c27" xsi:nil="true"/>
    <Students xmlns="c41f9e14-747a-4701-9185-ab88c25f6c27">
      <UserInfo>
        <DisplayName/>
        <AccountId xsi:nil="true"/>
        <AccountType/>
      </UserInfo>
    </Students>
    <Student_Groups xmlns="c41f9e14-747a-4701-9185-ab88c25f6c27">
      <UserInfo>
        <DisplayName/>
        <AccountId xsi:nil="true"/>
        <AccountType/>
      </UserInfo>
    </Student_Groups>
    <_activity xmlns="c41f9e14-747a-4701-9185-ab88c25f6c27" xsi:nil="true"/>
    <Templates xmlns="c41f9e14-747a-4701-9185-ab88c25f6c27" xsi:nil="true"/>
    <AppVersion xmlns="c41f9e14-747a-4701-9185-ab88c25f6c27" xsi:nil="true"/>
    <LMS_Mappings xmlns="c41f9e14-747a-4701-9185-ab88c25f6c27" xsi:nil="true"/>
    <IsNotebookLocked xmlns="c41f9e14-747a-4701-9185-ab88c25f6c27" xsi:nil="true"/>
    <Self_Registration_Enabled xmlns="c41f9e14-747a-4701-9185-ab88c25f6c27" xsi:nil="true"/>
    <Has_Teacher_Only_SectionGroup xmlns="c41f9e14-747a-4701-9185-ab88c25f6c27" xsi:nil="true"/>
    <FolderType xmlns="c41f9e14-747a-4701-9185-ab88c25f6c27" xsi:nil="true"/>
    <Teachers xmlns="c41f9e14-747a-4701-9185-ab88c25f6c27">
      <UserInfo>
        <DisplayName/>
        <AccountId xsi:nil="true"/>
        <AccountType/>
      </UserInfo>
    </Teachers>
    <Distribution_Groups xmlns="c41f9e14-747a-4701-9185-ab88c25f6c27" xsi:nil="true"/>
    <Math_Settings xmlns="c41f9e14-747a-4701-9185-ab88c25f6c27" xsi:nil="true"/>
    <TeamsChannelId xmlns="c41f9e14-747a-4701-9185-ab88c25f6c27" xsi:nil="true"/>
    <Invited_Students xmlns="c41f9e14-747a-4701-9185-ab88c25f6c27" xsi:nil="true"/>
    <Owner xmlns="c41f9e14-747a-4701-9185-ab88c25f6c27">
      <UserInfo>
        <DisplayName/>
        <AccountId xsi:nil="true"/>
        <AccountType/>
      </UserInfo>
    </Owner>
    <Invited_Teachers xmlns="c41f9e14-747a-4701-9185-ab88c25f6c27" xsi:nil="true"/>
    <DefaultSectionNames xmlns="c41f9e14-747a-4701-9185-ab88c25f6c27" xsi:nil="true"/>
    <Is_Collaboration_Space_Locked xmlns="c41f9e14-747a-4701-9185-ab88c25f6c27" xsi:nil="true"/>
    <Teams_Channel_Section_Location xmlns="c41f9e14-747a-4701-9185-ab88c25f6c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2D0FBD63DFEC34B9F25279A7EDD0C70" ma:contentTypeVersion="39" ma:contentTypeDescription="Utwórz nowy dokument." ma:contentTypeScope="" ma:versionID="d3e0ada3b482de9ca5af853c8b4c5c18">
  <xsd:schema xmlns:xsd="http://www.w3.org/2001/XMLSchema" xmlns:xs="http://www.w3.org/2001/XMLSchema" xmlns:p="http://schemas.microsoft.com/office/2006/metadata/properties" xmlns:ns3="c41f9e14-747a-4701-9185-ab88c25f6c27" xmlns:ns4="1ec5cc62-5107-49bb-ac35-ee9f262548af" targetNamespace="http://schemas.microsoft.com/office/2006/metadata/properties" ma:root="true" ma:fieldsID="1638d43f37d2504939ef1d5660b49241" ns3:_="" ns4:_="">
    <xsd:import namespace="c41f9e14-747a-4701-9185-ab88c25f6c27"/>
    <xsd:import namespace="1ec5cc62-5107-49bb-ac35-ee9f262548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Teams_Channel_Section_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f9e14-747a-4701-9185-ab88c25f6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NotebookType" ma:index="18" nillable="true" ma:displayName="Notebook Type" ma:internalName="NotebookType">
      <xsd:simpleType>
        <xsd:restriction base="dms:Text"/>
      </xsd:simpleType>
    </xsd:element>
    <xsd:element name="FolderType" ma:index="19" nillable="true" ma:displayName="Folder Type" ma:internalName="FolderType">
      <xsd:simpleType>
        <xsd:restriction base="dms:Text"/>
      </xsd:simpleType>
    </xsd:element>
    <xsd:element name="CultureName" ma:index="20" nillable="true" ma:displayName="Culture Name" ma:internalName="CultureName">
      <xsd:simpleType>
        <xsd:restriction base="dms:Text"/>
      </xsd:simpleType>
    </xsd:element>
    <xsd:element name="AppVersion" ma:index="21" nillable="true" ma:displayName="App Version" ma:internalName="AppVersion">
      <xsd:simpleType>
        <xsd:restriction base="dms:Text"/>
      </xsd:simpleType>
    </xsd:element>
    <xsd:element name="TeamsChannelId" ma:index="22" nillable="true" ma:displayName="Teams Channel Id" ma:internalName="TeamsChannelId">
      <xsd:simpleType>
        <xsd:restriction base="dms:Text"/>
      </xsd:simpleType>
    </xsd:element>
    <xsd:element name="Owner" ma:index="2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4" nillable="true" ma:displayName="Math Settings" ma:internalName="Math_Settings">
      <xsd:simpleType>
        <xsd:restriction base="dms:Text"/>
      </xsd:simpleType>
    </xsd:element>
    <xsd:element name="DefaultSectionNames" ma:index="2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6" nillable="true" ma:displayName="Is Collaboration Space Locked" ma:internalName="Is_Collaboration_Space_Locked">
      <xsd:simpleType>
        <xsd:restriction base="dms:Boolean"/>
      </xsd:simpleType>
    </xsd:element>
    <xsd:element name="IsNotebookLocked" ma:index="37" nillable="true" ma:displayName="Is Notebook Locked" ma:internalName="IsNotebookLocked">
      <xsd:simpleType>
        <xsd:restriction base="dms:Boolean"/>
      </xsd:simpleType>
    </xsd:element>
    <xsd:element name="Teams_Channel_Section_Location" ma:index="41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43" nillable="true" ma:displayName="_activity" ma:hidden="true" ma:internalName="_activity">
      <xsd:simpleType>
        <xsd:restriction base="dms:Note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5cc62-5107-49bb-ac35-ee9f262548af" elementFormDefault="qualified">
    <xsd:import namespace="http://schemas.microsoft.com/office/2006/documentManagement/types"/>
    <xsd:import namespace="http://schemas.microsoft.com/office/infopath/2007/PartnerControls"/>
    <xsd:element name="SharedWithUsers" ma:index="3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4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FE7293-E3D5-4BC6-8090-A83BF39C5891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1ec5cc62-5107-49bb-ac35-ee9f262548af"/>
    <ds:schemaRef ds:uri="c41f9e14-747a-4701-9185-ab88c25f6c2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18FA2BC-7F59-44F3-8002-A48A04E472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BBFED5-E277-4476-8964-38A7F2858C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f9e14-747a-4701-9185-ab88c25f6c27"/>
    <ds:schemaRef ds:uri="1ec5cc62-5107-49bb-ac35-ee9f262548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Urszula Grzybowska</dc:creator>
  <cp:lastModifiedBy>Urszula Grzybowska</cp:lastModifiedBy>
  <dcterms:created xsi:type="dcterms:W3CDTF">2025-03-13T07:38:34Z</dcterms:created>
  <dcterms:modified xsi:type="dcterms:W3CDTF">2025-03-14T07:48:37Z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0x010100E2D0FBD63DFEC34B9F25279A7EDD0C70</vt:lpwstr>
  </property>
</Properties>
</file>